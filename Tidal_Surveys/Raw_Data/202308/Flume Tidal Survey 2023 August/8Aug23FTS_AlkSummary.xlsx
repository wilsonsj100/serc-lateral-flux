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.sharepoint.com/sites/SERC-OceanAcidification-Team/Shared Documents/General/Biogeochem x OA 2023/FTS_Alkalinity_2023/FTS_8Aug23_RunSep23/"/>
    </mc:Choice>
  </mc:AlternateContent>
  <xr:revisionPtr revIDLastSave="174" documentId="8_{C710A81A-0905-E442-BC3B-A38D0F297DA9}" xr6:coauthVersionLast="47" xr6:coauthVersionMax="47" xr10:uidLastSave="{37D32FDD-2060-BE47-88BC-40F66B629C67}"/>
  <bookViews>
    <workbookView xWindow="2820" yWindow="4840" windowWidth="28040" windowHeight="21660" activeTab="1" xr2:uid="{44B38F8A-1E1A-B44E-9CF2-3818E2CD245F}"/>
  </bookViews>
  <sheets>
    <sheet name="Full dataset" sheetId="1" r:id="rId1"/>
    <sheet name="Sample averages for graphing" sheetId="2" r:id="rId2"/>
  </sheets>
  <definedNames>
    <definedName name="_xlnm._FilterDatabase" localSheetId="0" hidden="1">'Full dataset'!$E$7:$E$49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G47" i="1" s="1"/>
  <c r="E47" i="1"/>
  <c r="F45" i="1"/>
  <c r="G45" i="1" s="1"/>
  <c r="E45" i="1"/>
  <c r="F43" i="1"/>
  <c r="G43" i="1" s="1"/>
  <c r="E43" i="1"/>
  <c r="F41" i="1"/>
  <c r="G41" i="1" s="1"/>
  <c r="E41" i="1"/>
  <c r="F39" i="1"/>
  <c r="G39" i="1" s="1"/>
  <c r="E39" i="1"/>
  <c r="F37" i="1"/>
  <c r="G37" i="1" s="1"/>
  <c r="E37" i="1"/>
  <c r="F35" i="1"/>
  <c r="G35" i="1" s="1"/>
  <c r="E35" i="1"/>
  <c r="F33" i="1"/>
  <c r="G33" i="1" s="1"/>
  <c r="E33" i="1"/>
  <c r="F31" i="1"/>
  <c r="G31" i="1" s="1"/>
  <c r="E31" i="1"/>
  <c r="F29" i="1"/>
  <c r="G29" i="1" s="1"/>
  <c r="E29" i="1"/>
  <c r="F27" i="1"/>
  <c r="G27" i="1" s="1"/>
  <c r="E27" i="1"/>
  <c r="F25" i="1"/>
  <c r="G25" i="1" s="1"/>
  <c r="F23" i="1"/>
  <c r="G23" i="1" s="1"/>
  <c r="F21" i="1"/>
  <c r="G21" i="1" s="1"/>
  <c r="F19" i="1"/>
  <c r="G19" i="1" s="1"/>
  <c r="F17" i="1"/>
  <c r="G17" i="1" s="1"/>
  <c r="F15" i="1"/>
  <c r="G15" i="1" s="1"/>
  <c r="F13" i="1"/>
  <c r="G13" i="1" s="1"/>
  <c r="F11" i="1"/>
  <c r="G11" i="1" s="1"/>
  <c r="E25" i="1"/>
  <c r="E23" i="1"/>
  <c r="E21" i="1"/>
  <c r="E19" i="1"/>
  <c r="E17" i="1"/>
  <c r="E15" i="1"/>
  <c r="E13" i="1"/>
  <c r="E11" i="1"/>
  <c r="F9" i="1"/>
  <c r="G9" i="1" s="1"/>
  <c r="E9" i="1"/>
</calcChain>
</file>

<file path=xl/sharedStrings.xml><?xml version="1.0" encoding="utf-8"?>
<sst xmlns="http://schemas.openxmlformats.org/spreadsheetml/2006/main" count="83" uniqueCount="37">
  <si>
    <t>Sample</t>
  </si>
  <si>
    <t>Rep</t>
  </si>
  <si>
    <t>Result (umol/L)</t>
  </si>
  <si>
    <t>Average</t>
  </si>
  <si>
    <t>Stdev</t>
  </si>
  <si>
    <t>Sterr</t>
  </si>
  <si>
    <t>08Aug23 FTS Preliminary Alkalinity Data (Titrator Values)</t>
  </si>
  <si>
    <t>209-0374 CRM</t>
  </si>
  <si>
    <t>Data calculation through titrator in umol/l water.</t>
  </si>
  <si>
    <t>nominal value umol/kg-l (CRM only)</t>
  </si>
  <si>
    <t>FTS1</t>
  </si>
  <si>
    <t>FTS2</t>
  </si>
  <si>
    <t>FTS3</t>
  </si>
  <si>
    <t>FTS4</t>
  </si>
  <si>
    <t>FTS5</t>
  </si>
  <si>
    <t>FTS6</t>
  </si>
  <si>
    <t>FTS7</t>
  </si>
  <si>
    <t>FTS8</t>
  </si>
  <si>
    <t>recalculated on titrator--not updated in raw files</t>
  </si>
  <si>
    <t>FTS9</t>
  </si>
  <si>
    <t>FTS10</t>
  </si>
  <si>
    <t>FTS11</t>
  </si>
  <si>
    <t>FTS12</t>
  </si>
  <si>
    <t>FTS13</t>
  </si>
  <si>
    <t>GW1 8/7</t>
  </si>
  <si>
    <t>notes</t>
  </si>
  <si>
    <t>run date</t>
  </si>
  <si>
    <t>GW2 8/7</t>
  </si>
  <si>
    <t>GW3 8/7</t>
  </si>
  <si>
    <t>GW4 8/7</t>
  </si>
  <si>
    <t>GW5 8/7</t>
  </si>
  <si>
    <t>Sample date/time (m/dd/yy 00:00)</t>
  </si>
  <si>
    <t>GW6 8/7</t>
  </si>
  <si>
    <t>CRM 209-0374</t>
  </si>
  <si>
    <t>Average Summaries for graphing</t>
  </si>
  <si>
    <t>need to rerun?</t>
  </si>
  <si>
    <t>needs to be rerun?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</si>
</sst>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166" fontId="0" fillId="0" borderId="0" xfId="0" applyNumberFormat="1"/>
    <xf numFmtId="0" fontId="2" fillId="0" borderId="0" xfId="0" applyFont="1"/>
    <xf numFmtId="166" fontId="2" fillId="0" borderId="0" xfId="0" applyNumberFormat="1" applyFont="1"/>
    <xf numFmtId="1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FTS Alkalinity Over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'Sample averages for graphing'!$E$6:$E$18</c:f>
                <c:numCache>
                  <c:formatCode>General</c:formatCode>
                  <c:ptCount val="13"/>
                  <c:pt idx="0">
                    <c:v>0.45</c:v>
                  </c:pt>
                  <c:pt idx="1">
                    <c:v>12.7</c:v>
                  </c:pt>
                  <c:pt idx="2">
                    <c:v>1.35</c:v>
                  </c:pt>
                  <c:pt idx="3">
                    <c:v>4.95</c:v>
                  </c:pt>
                  <c:pt idx="4">
                    <c:v>2.4</c:v>
                  </c:pt>
                  <c:pt idx="5">
                    <c:v>2.9</c:v>
                  </c:pt>
                  <c:pt idx="6">
                    <c:v>1.1000000000000001</c:v>
                  </c:pt>
                  <c:pt idx="7">
                    <c:v>0.45</c:v>
                  </c:pt>
                  <c:pt idx="8">
                    <c:v>85.6</c:v>
                  </c:pt>
                  <c:pt idx="9">
                    <c:v>0.65</c:v>
                  </c:pt>
                  <c:pt idx="10">
                    <c:v>1.1499999999999999</c:v>
                  </c:pt>
                  <c:pt idx="11">
                    <c:v>0.65</c:v>
                  </c:pt>
                  <c:pt idx="12">
                    <c:v>0.3</c:v>
                  </c:pt>
                </c:numCache>
              </c:numRef>
            </c:plus>
            <c:minus>
              <c:numRef>
                <c:f>'Sample averages for graphing'!$E$6:$E$18</c:f>
                <c:numCache>
                  <c:formatCode>General</c:formatCode>
                  <c:ptCount val="13"/>
                  <c:pt idx="0">
                    <c:v>0.45</c:v>
                  </c:pt>
                  <c:pt idx="1">
                    <c:v>12.7</c:v>
                  </c:pt>
                  <c:pt idx="2">
                    <c:v>1.35</c:v>
                  </c:pt>
                  <c:pt idx="3">
                    <c:v>4.95</c:v>
                  </c:pt>
                  <c:pt idx="4">
                    <c:v>2.4</c:v>
                  </c:pt>
                  <c:pt idx="5">
                    <c:v>2.9</c:v>
                  </c:pt>
                  <c:pt idx="6">
                    <c:v>1.1000000000000001</c:v>
                  </c:pt>
                  <c:pt idx="7">
                    <c:v>0.45</c:v>
                  </c:pt>
                  <c:pt idx="8">
                    <c:v>85.6</c:v>
                  </c:pt>
                  <c:pt idx="9">
                    <c:v>0.65</c:v>
                  </c:pt>
                  <c:pt idx="10">
                    <c:v>1.1499999999999999</c:v>
                  </c:pt>
                  <c:pt idx="11">
                    <c:v>0.65</c:v>
                  </c:pt>
                  <c:pt idx="12">
                    <c:v>0.3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'Sample averages for graphing'!$B$6:$B$18</c:f>
              <c:numCache>
                <c:formatCode>m/d/yy\ h:mm;@</c:formatCode>
                <c:ptCount val="13"/>
                <c:pt idx="0">
                  <c:v>45146.229166666664</c:v>
                </c:pt>
                <c:pt idx="1">
                  <c:v>45146.270833333336</c:v>
                </c:pt>
                <c:pt idx="2">
                  <c:v>45146.3125</c:v>
                </c:pt>
                <c:pt idx="3">
                  <c:v>45146.354166666664</c:v>
                </c:pt>
                <c:pt idx="4">
                  <c:v>45146.395833333336</c:v>
                </c:pt>
                <c:pt idx="5">
                  <c:v>45146.4375</c:v>
                </c:pt>
                <c:pt idx="6">
                  <c:v>45146.479166666664</c:v>
                </c:pt>
                <c:pt idx="7">
                  <c:v>45146.520833333336</c:v>
                </c:pt>
                <c:pt idx="8">
                  <c:v>45146.5625</c:v>
                </c:pt>
                <c:pt idx="9">
                  <c:v>45146.604166666664</c:v>
                </c:pt>
                <c:pt idx="10">
                  <c:v>45146.645833333336</c:v>
                </c:pt>
                <c:pt idx="11">
                  <c:v>45146.6875</c:v>
                </c:pt>
                <c:pt idx="12">
                  <c:v>45146.729166666664</c:v>
                </c:pt>
              </c:numCache>
            </c:numRef>
          </c:xVal>
          <c:yVal>
            <c:numRef>
              <c:f>'Sample averages for graphing'!$C$6:$C$18</c:f>
              <c:numCache>
                <c:formatCode>General</c:formatCode>
                <c:ptCount val="13"/>
                <c:pt idx="0">
                  <c:v>1353.25</c:v>
                </c:pt>
                <c:pt idx="1">
                  <c:v>1401.5</c:v>
                </c:pt>
                <c:pt idx="2">
                  <c:v>1057.95</c:v>
                </c:pt>
                <c:pt idx="3">
                  <c:v>1094.05</c:v>
                </c:pt>
                <c:pt idx="4">
                  <c:v>1399.1</c:v>
                </c:pt>
                <c:pt idx="5">
                  <c:v>1487.1</c:v>
                </c:pt>
                <c:pt idx="6">
                  <c:v>1408</c:v>
                </c:pt>
                <c:pt idx="7">
                  <c:v>1718.85</c:v>
                </c:pt>
                <c:pt idx="8">
                  <c:v>1727.1</c:v>
                </c:pt>
                <c:pt idx="9">
                  <c:v>1942.15</c:v>
                </c:pt>
                <c:pt idx="10">
                  <c:v>1960.75</c:v>
                </c:pt>
                <c:pt idx="11">
                  <c:v>1959.75</c:v>
                </c:pt>
                <c:pt idx="12">
                  <c:v>1927.7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2D-8C4E-B498-8BFCF9311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646832"/>
        <c:axId val="674201200"/>
      </c:scatterChart>
      <c:valAx>
        <c:axId val="67864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\ 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01200"/>
        <c:crosses val="autoZero"/>
        <c:crossBetween val="midCat"/>
      </c:valAx>
      <c:valAx>
        <c:axId val="674201200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 umol/l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4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GW Alkalinity 8/7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'Sample averages for graphing'!$E$19:$E$24</c:f>
                <c:numCache>
                  <c:formatCode>General</c:formatCode>
                  <c:ptCount val="6"/>
                  <c:pt idx="0">
                    <c:v>211.8</c:v>
                  </c:pt>
                  <c:pt idx="1">
                    <c:v>1.95</c:v>
                  </c:pt>
                  <c:pt idx="2">
                    <c:v>0.25</c:v>
                  </c:pt>
                  <c:pt idx="3">
                    <c:v>3.3</c:v>
                  </c:pt>
                  <c:pt idx="4">
                    <c:v>2.65</c:v>
                  </c:pt>
                  <c:pt idx="5">
                    <c:v>3.75</c:v>
                  </c:pt>
                </c:numCache>
              </c:numRef>
            </c:plus>
            <c:minus>
              <c:numRef>
                <c:f>'Sample averages for graphing'!$E$19:$E$24</c:f>
                <c:numCache>
                  <c:formatCode>General</c:formatCode>
                  <c:ptCount val="6"/>
                  <c:pt idx="0">
                    <c:v>211.8</c:v>
                  </c:pt>
                  <c:pt idx="1">
                    <c:v>1.95</c:v>
                  </c:pt>
                  <c:pt idx="2">
                    <c:v>0.25</c:v>
                  </c:pt>
                  <c:pt idx="3">
                    <c:v>3.3</c:v>
                  </c:pt>
                  <c:pt idx="4">
                    <c:v>2.65</c:v>
                  </c:pt>
                  <c:pt idx="5">
                    <c:v>3.75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'Sample averages for graphing'!$A$19:$A$24</c:f>
              <c:strCache>
                <c:ptCount val="6"/>
                <c:pt idx="0">
                  <c:v>GW1 8/7</c:v>
                </c:pt>
                <c:pt idx="1">
                  <c:v>GW2 8/7</c:v>
                </c:pt>
                <c:pt idx="2">
                  <c:v>GW3 8/7</c:v>
                </c:pt>
                <c:pt idx="3">
                  <c:v>GW4 8/7</c:v>
                </c:pt>
                <c:pt idx="4">
                  <c:v>GW5 8/7</c:v>
                </c:pt>
                <c:pt idx="5">
                  <c:v>GW6 8/7</c:v>
                </c:pt>
              </c:strCache>
            </c:strRef>
          </c:cat>
          <c:val>
            <c:numRef>
              <c:f>'Sample averages for graphing'!$C$19:$C$24</c:f>
              <c:numCache>
                <c:formatCode>General</c:formatCode>
                <c:ptCount val="6"/>
                <c:pt idx="0">
                  <c:v>4620.3</c:v>
                </c:pt>
                <c:pt idx="1">
                  <c:v>2376.25</c:v>
                </c:pt>
                <c:pt idx="2">
                  <c:v>1770.05</c:v>
                </c:pt>
                <c:pt idx="3">
                  <c:v>2733.1</c:v>
                </c:pt>
                <c:pt idx="4">
                  <c:v>2111.9499999999998</c:v>
                </c:pt>
                <c:pt idx="5">
                  <c:v>1932.15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C-F34F-9EA2-FDB098795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4796912"/>
        <c:axId val="729674096"/>
      </c:barChart>
      <c:catAx>
        <c:axId val="69479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674096"/>
        <c:crosses val="autoZero"/>
        <c:auto val="1"/>
        <c:lblAlgn val="ctr"/>
        <c:lblOffset val="100"/>
        <c:noMultiLvlLbl val="0"/>
      </c:catAx>
      <c:valAx>
        <c:axId val="7296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Alk umol/l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79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107950</xdr:colOff>
      <xdr:row>0</xdr:row>
      <xdr:rowOff>158750</xdr:rowOff>
    </xdr:from>
    <xdr:to>
      <xdr:col>16</xdr:col>
      <xdr:colOff>76200</xdr:colOff>
      <xdr:row>22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CA77F-0E2B-B147-18D8-5A4DCBEAE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12700</xdr:colOff>
      <xdr:row>30</xdr:row>
      <xdr:rowOff>44450</xdr:rowOff>
    </xdr:from>
    <xdr:to>
      <xdr:col>7</xdr:col>
      <xdr:colOff>457200</xdr:colOff>
      <xdr:row>43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A8103F-F125-B45A-FB80-F27A57D72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F72A-BD58-7046-A6D1-5DDC92C98DEC}">
  <dimension ref="A2:J49"/>
  <sheetViews>
    <sheetView topLeftCell="A7" workbookViewId="0">
      <selection activeCell="L44" sqref="L44"/>
    </sheetView>
  </sheetViews>
  <sheetFormatPr baseColWidth="10" defaultRowHeight="16" x14ac:dyDescent="0.2"/>
  <cols>
    <col min="1" max="1" width="16.6640625" customWidth="1"/>
    <col min="2" max="2" width="18.83203125" customWidth="1"/>
    <col min="4" max="4" width="17.1640625" customWidth="1"/>
  </cols>
  <sheetData>
    <row r="2" spans="1:10" x14ac:dyDescent="0.2">
      <c r="A2" t="s">
        <v>6</v>
      </c>
    </row>
    <row r="3" spans="1:10" x14ac:dyDescent="0.2">
      <c r="A3" t="s">
        <v>8</v>
      </c>
    </row>
    <row r="7" spans="1:10" x14ac:dyDescent="0.2">
      <c r="A7" t="s">
        <v>0</v>
      </c>
      <c r="B7" t="s">
        <v>31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9</v>
      </c>
      <c r="I7" t="s">
        <v>25</v>
      </c>
      <c r="J7" t="s">
        <v>26</v>
      </c>
    </row>
    <row r="8" spans="1:10" x14ac:dyDescent="0.2">
      <c r="A8" t="s">
        <v>7</v>
      </c>
      <c r="B8" s="2">
        <v>45181</v>
      </c>
      <c r="C8">
        <v>1</v>
      </c>
      <c r="D8">
        <v>2219.1999999999998</v>
      </c>
      <c r="J8" s="1">
        <v>45181</v>
      </c>
    </row>
    <row r="9" spans="1:10" x14ac:dyDescent="0.2">
      <c r="A9" t="s">
        <v>7</v>
      </c>
      <c r="B9" s="2">
        <v>45181</v>
      </c>
      <c r="C9">
        <v>2</v>
      </c>
      <c r="D9">
        <v>2210.5</v>
      </c>
      <c r="E9">
        <f>AVERAGE(D8:D9)</f>
        <v>2214.85</v>
      </c>
      <c r="F9">
        <f>STDEV(D8:D9)</f>
        <v>6.151828996322835</v>
      </c>
      <c r="G9">
        <f>F9/(SQRT(2))</f>
        <v>4.3499999999999091</v>
      </c>
      <c r="H9">
        <v>2210.4</v>
      </c>
      <c r="J9" s="1">
        <v>45181</v>
      </c>
    </row>
    <row r="10" spans="1:10" x14ac:dyDescent="0.2">
      <c r="A10" t="s">
        <v>10</v>
      </c>
      <c r="B10" s="2">
        <v>45146.229166666664</v>
      </c>
      <c r="C10">
        <v>1</v>
      </c>
      <c r="D10">
        <v>1352.8</v>
      </c>
      <c r="J10" s="1">
        <v>45181</v>
      </c>
    </row>
    <row r="11" spans="1:10" x14ac:dyDescent="0.2">
      <c r="A11" t="s">
        <v>10</v>
      </c>
      <c r="B11" s="2">
        <v>45146.229166666664</v>
      </c>
      <c r="C11">
        <v>2</v>
      </c>
      <c r="D11">
        <v>1353.7</v>
      </c>
      <c r="E11">
        <f>AVERAGE(D10:D11)</f>
        <v>1353.25</v>
      </c>
      <c r="F11">
        <f>STDEV(D10:D11)</f>
        <v>0.63639610306795713</v>
      </c>
      <c r="G11">
        <f>F11/(SQRT(2))</f>
        <v>0.45000000000004547</v>
      </c>
      <c r="J11" s="1">
        <v>45181</v>
      </c>
    </row>
    <row r="12" spans="1:10" x14ac:dyDescent="0.2">
      <c r="A12" t="s">
        <v>11</v>
      </c>
      <c r="B12" s="2">
        <v>45146.270833333336</v>
      </c>
      <c r="C12">
        <v>1</v>
      </c>
      <c r="D12">
        <v>1388.8</v>
      </c>
      <c r="J12" s="1">
        <v>45181</v>
      </c>
    </row>
    <row r="13" spans="1:10" x14ac:dyDescent="0.2">
      <c r="A13" t="s">
        <v>11</v>
      </c>
      <c r="B13" s="2">
        <v>45146.270833333336</v>
      </c>
      <c r="C13">
        <v>2</v>
      </c>
      <c r="D13">
        <v>1414.2</v>
      </c>
      <c r="E13">
        <f>AVERAGE(D12:D13)</f>
        <v>1401.5</v>
      </c>
      <c r="F13">
        <f>STDEV(D12:D13)</f>
        <v>17.960512242138371</v>
      </c>
      <c r="G13">
        <f>F13/(SQRT(2))</f>
        <v>12.700000000000044</v>
      </c>
      <c r="J13" s="1">
        <v>45181</v>
      </c>
    </row>
    <row r="14" spans="1:10" x14ac:dyDescent="0.2">
      <c r="A14" t="s">
        <v>12</v>
      </c>
      <c r="B14" s="2">
        <v>45146.3125</v>
      </c>
      <c r="C14">
        <v>1</v>
      </c>
      <c r="D14">
        <v>1056.5999999999999</v>
      </c>
      <c r="J14" s="1">
        <v>45181</v>
      </c>
    </row>
    <row r="15" spans="1:10" x14ac:dyDescent="0.2">
      <c r="A15" t="s">
        <v>12</v>
      </c>
      <c r="B15" s="2">
        <v>45146.3125</v>
      </c>
      <c r="C15">
        <v>2</v>
      </c>
      <c r="D15">
        <v>1059.3</v>
      </c>
      <c r="E15">
        <f>AVERAGE(D14:D15)</f>
        <v>1057.9499999999998</v>
      </c>
      <c r="F15">
        <f>STDEV(D14:D15)</f>
        <v>1.9091883092037105</v>
      </c>
      <c r="G15">
        <f>F15/(SQRT(2))</f>
        <v>1.3500000000000227</v>
      </c>
      <c r="J15" s="1">
        <v>45181</v>
      </c>
    </row>
    <row r="16" spans="1:10" x14ac:dyDescent="0.2">
      <c r="A16" t="s">
        <v>13</v>
      </c>
      <c r="B16" s="2">
        <v>45146.354166666664</v>
      </c>
      <c r="C16">
        <v>1</v>
      </c>
      <c r="D16">
        <v>1089.0999999999999</v>
      </c>
      <c r="J16" s="1">
        <v>45181</v>
      </c>
    </row>
    <row r="17" spans="1:10" x14ac:dyDescent="0.2">
      <c r="A17" t="s">
        <v>13</v>
      </c>
      <c r="B17" s="2">
        <v>45146.354166666664</v>
      </c>
      <c r="C17">
        <v>2</v>
      </c>
      <c r="D17">
        <v>1099</v>
      </c>
      <c r="E17">
        <f>AVERAGE(D16:D17)</f>
        <v>1094.05</v>
      </c>
      <c r="F17">
        <f>STDEV(D16:D17)</f>
        <v>7.0003571337468848</v>
      </c>
      <c r="G17">
        <f>F17/(SQRT(2))</f>
        <v>4.9500000000000455</v>
      </c>
      <c r="J17" s="1">
        <v>45181</v>
      </c>
    </row>
    <row r="18" spans="1:10" x14ac:dyDescent="0.2">
      <c r="A18" t="s">
        <v>14</v>
      </c>
      <c r="B18" s="2">
        <v>45146.395833333336</v>
      </c>
      <c r="C18">
        <v>1</v>
      </c>
      <c r="D18">
        <v>1401.5</v>
      </c>
      <c r="J18" s="1">
        <v>45181</v>
      </c>
    </row>
    <row r="19" spans="1:10" x14ac:dyDescent="0.2">
      <c r="A19" t="s">
        <v>14</v>
      </c>
      <c r="B19" s="2">
        <v>45146.395833333336</v>
      </c>
      <c r="C19">
        <v>2</v>
      </c>
      <c r="D19">
        <v>1396.7</v>
      </c>
      <c r="E19">
        <f>AVERAGE(D18:D19)</f>
        <v>1399.1</v>
      </c>
      <c r="F19">
        <f>STDEV(D18:D19)</f>
        <v>3.3941125496953961</v>
      </c>
      <c r="G19">
        <f>F19/(SQRT(2))</f>
        <v>2.3999999999999773</v>
      </c>
      <c r="J19" s="1">
        <v>45181</v>
      </c>
    </row>
    <row r="20" spans="1:10" x14ac:dyDescent="0.2">
      <c r="A20" t="s">
        <v>15</v>
      </c>
      <c r="B20" s="2">
        <v>45146.4375</v>
      </c>
      <c r="C20">
        <v>1</v>
      </c>
      <c r="D20">
        <v>1490</v>
      </c>
      <c r="J20" s="1">
        <v>45181</v>
      </c>
    </row>
    <row r="21" spans="1:10" x14ac:dyDescent="0.2">
      <c r="A21" t="s">
        <v>15</v>
      </c>
      <c r="B21" s="2">
        <v>45146.4375</v>
      </c>
      <c r="C21">
        <v>2</v>
      </c>
      <c r="D21">
        <v>1484.2</v>
      </c>
      <c r="E21">
        <f>AVERAGE(D20:D21)</f>
        <v>1487.1</v>
      </c>
      <c r="F21">
        <f>STDEV(D20:D21)</f>
        <v>4.1012193308819436</v>
      </c>
      <c r="G21">
        <f>F21/(SQRT(2))</f>
        <v>2.8999999999999773</v>
      </c>
      <c r="J21" s="1">
        <v>45181</v>
      </c>
    </row>
    <row r="22" spans="1:10" x14ac:dyDescent="0.2">
      <c r="A22" t="s">
        <v>16</v>
      </c>
      <c r="B22" s="2">
        <v>45146.479166666664</v>
      </c>
      <c r="C22">
        <v>1</v>
      </c>
      <c r="D22">
        <v>1409.1</v>
      </c>
      <c r="J22" s="1">
        <v>45181</v>
      </c>
    </row>
    <row r="23" spans="1:10" x14ac:dyDescent="0.2">
      <c r="A23" t="s">
        <v>16</v>
      </c>
      <c r="B23" s="2">
        <v>45146.479166666664</v>
      </c>
      <c r="C23">
        <v>2</v>
      </c>
      <c r="D23">
        <v>1406.9</v>
      </c>
      <c r="E23">
        <f>AVERAGE(D22:D23)</f>
        <v>1408</v>
      </c>
      <c r="F23">
        <f>STDEV(D22:D23)</f>
        <v>1.555634918610276</v>
      </c>
      <c r="G23">
        <f>F23/(SQRT(2))</f>
        <v>1.0999999999999091</v>
      </c>
      <c r="I23" t="s">
        <v>18</v>
      </c>
      <c r="J23" s="1">
        <v>45181</v>
      </c>
    </row>
    <row r="24" spans="1:10" x14ac:dyDescent="0.2">
      <c r="A24" t="s">
        <v>17</v>
      </c>
      <c r="B24" s="2">
        <v>45146.520833333336</v>
      </c>
      <c r="C24">
        <v>1</v>
      </c>
      <c r="D24">
        <v>1718.4</v>
      </c>
      <c r="J24" s="1">
        <v>45181</v>
      </c>
    </row>
    <row r="25" spans="1:10" x14ac:dyDescent="0.2">
      <c r="A25" t="s">
        <v>17</v>
      </c>
      <c r="B25" s="2">
        <v>45146.520833333336</v>
      </c>
      <c r="C25">
        <v>2</v>
      </c>
      <c r="D25">
        <v>1719.3</v>
      </c>
      <c r="E25">
        <f>AVERAGE(D24:D25)</f>
        <v>1718.85</v>
      </c>
      <c r="F25">
        <f>STDEV(D24:D25)</f>
        <v>0.63639610306779637</v>
      </c>
      <c r="G25">
        <f>F25/(SQRT(2))</f>
        <v>0.44999999999993179</v>
      </c>
      <c r="J25" s="1">
        <v>45181</v>
      </c>
    </row>
    <row r="26" spans="1:10" x14ac:dyDescent="0.2">
      <c r="A26" t="s">
        <v>19</v>
      </c>
      <c r="B26" s="2">
        <v>45146.5625</v>
      </c>
      <c r="C26" s="3">
        <v>1</v>
      </c>
      <c r="D26">
        <v>1641.5</v>
      </c>
      <c r="J26" s="1">
        <v>45182</v>
      </c>
    </row>
    <row r="27" spans="1:10" x14ac:dyDescent="0.2">
      <c r="A27" t="s">
        <v>19</v>
      </c>
      <c r="B27" s="2">
        <v>45146.5625</v>
      </c>
      <c r="C27" s="3">
        <v>2</v>
      </c>
      <c r="D27">
        <v>1812.7</v>
      </c>
      <c r="E27">
        <f>AVERAGE(D26:D27)</f>
        <v>1727.1</v>
      </c>
      <c r="F27">
        <f>STDEV(D26:D27)</f>
        <v>121.05668093913697</v>
      </c>
      <c r="G27">
        <f>F27/(SQRT(2))</f>
        <v>85.600000000000023</v>
      </c>
      <c r="I27" t="s">
        <v>35</v>
      </c>
      <c r="J27" s="1">
        <v>45182</v>
      </c>
    </row>
    <row r="28" spans="1:10" x14ac:dyDescent="0.2">
      <c r="A28" t="s">
        <v>20</v>
      </c>
      <c r="B28" s="2">
        <v>45146.604166666664</v>
      </c>
      <c r="C28" s="3">
        <v>1</v>
      </c>
      <c r="D28">
        <v>1942.8</v>
      </c>
      <c r="J28" s="1">
        <v>45182</v>
      </c>
    </row>
    <row r="29" spans="1:10" x14ac:dyDescent="0.2">
      <c r="A29" t="s">
        <v>20</v>
      </c>
      <c r="B29" s="2">
        <v>45146.604166666664</v>
      </c>
      <c r="C29" s="3">
        <v>2</v>
      </c>
      <c r="D29">
        <v>1941.5</v>
      </c>
      <c r="E29">
        <f>AVERAGE(D28:D29)</f>
        <v>1942.15</v>
      </c>
      <c r="F29">
        <f>STDEV(D28:D29)</f>
        <v>0.91923881554247966</v>
      </c>
      <c r="G29">
        <f>F29/(SQRT(2))</f>
        <v>0.64999999999997726</v>
      </c>
      <c r="J29" s="1">
        <v>45182</v>
      </c>
    </row>
    <row r="30" spans="1:10" x14ac:dyDescent="0.2">
      <c r="A30" t="s">
        <v>21</v>
      </c>
      <c r="B30" s="2">
        <v>45146.645833333336</v>
      </c>
      <c r="C30" s="3">
        <v>1</v>
      </c>
      <c r="D30">
        <v>1959.6</v>
      </c>
      <c r="J30" s="1">
        <v>45182</v>
      </c>
    </row>
    <row r="31" spans="1:10" x14ac:dyDescent="0.2">
      <c r="A31" t="s">
        <v>21</v>
      </c>
      <c r="B31" s="2">
        <v>45146.645833333336</v>
      </c>
      <c r="C31" s="3">
        <v>2</v>
      </c>
      <c r="D31">
        <v>1961.9</v>
      </c>
      <c r="E31">
        <f>AVERAGE(D30:D31)</f>
        <v>1960.75</v>
      </c>
      <c r="F31">
        <f>STDEV(D30:D31)</f>
        <v>1.626345596729188</v>
      </c>
      <c r="G31">
        <f>F31/(SQRT(2))</f>
        <v>1.1500000000000909</v>
      </c>
      <c r="J31" s="1">
        <v>45182</v>
      </c>
    </row>
    <row r="32" spans="1:10" x14ac:dyDescent="0.2">
      <c r="A32" t="s">
        <v>22</v>
      </c>
      <c r="B32" s="2">
        <v>45146.6875</v>
      </c>
      <c r="C32" s="3">
        <v>1</v>
      </c>
      <c r="D32">
        <v>1959.1</v>
      </c>
      <c r="J32" s="1">
        <v>45182</v>
      </c>
    </row>
    <row r="33" spans="1:10" x14ac:dyDescent="0.2">
      <c r="A33" t="s">
        <v>22</v>
      </c>
      <c r="B33" s="2">
        <v>45146.6875</v>
      </c>
      <c r="C33" s="3">
        <v>2</v>
      </c>
      <c r="D33">
        <v>1960.4</v>
      </c>
      <c r="E33">
        <f>AVERAGE(D32:D33)</f>
        <v>1959.75</v>
      </c>
      <c r="F33">
        <f>STDEV(D32:D33)</f>
        <v>0.91923881554264042</v>
      </c>
      <c r="G33">
        <f>F33/(SQRT(2))</f>
        <v>0.65000000000009095</v>
      </c>
      <c r="J33" s="1">
        <v>45182</v>
      </c>
    </row>
    <row r="34" spans="1:10" x14ac:dyDescent="0.2">
      <c r="A34" t="s">
        <v>23</v>
      </c>
      <c r="B34" s="2">
        <v>45146.729166666664</v>
      </c>
      <c r="C34" s="3">
        <v>1</v>
      </c>
      <c r="D34">
        <v>1927.4</v>
      </c>
      <c r="J34" s="1">
        <v>45182</v>
      </c>
    </row>
    <row r="35" spans="1:10" x14ac:dyDescent="0.2">
      <c r="A35" t="s">
        <v>23</v>
      </c>
      <c r="B35" s="2">
        <v>45146.729166666664</v>
      </c>
      <c r="C35" s="3">
        <v>2</v>
      </c>
      <c r="D35">
        <v>1928</v>
      </c>
      <c r="E35">
        <f>AVERAGE(D34:D35)</f>
        <v>1927.7</v>
      </c>
      <c r="F35">
        <f>STDEV(D34:D35)</f>
        <v>0.42426406871186417</v>
      </c>
      <c r="G35">
        <f>F35/(SQRT(2))</f>
        <v>0.29999999999995447</v>
      </c>
      <c r="J35" s="1">
        <v>45182</v>
      </c>
    </row>
    <row r="36" spans="1:10" x14ac:dyDescent="0.2">
      <c r="A36" t="s">
        <v>24</v>
      </c>
      <c r="B36" s="2">
        <v>45145</v>
      </c>
      <c r="C36" s="3">
        <v>1</v>
      </c>
      <c r="D36">
        <v>4832.1000000000004</v>
      </c>
      <c r="J36" s="1">
        <v>45182</v>
      </c>
    </row>
    <row r="37" spans="1:10" x14ac:dyDescent="0.2">
      <c r="A37" t="s">
        <v>24</v>
      </c>
      <c r="B37" s="2">
        <v>45145</v>
      </c>
      <c r="C37" s="3">
        <v>2</v>
      </c>
      <c r="D37">
        <v>4408.5</v>
      </c>
      <c r="E37">
        <f>AVERAGE(D36:D37)</f>
        <v>4620.3</v>
      </c>
      <c r="F37">
        <f>STDEV(D36:D37)</f>
        <v>299.53043251062178</v>
      </c>
      <c r="G37">
        <f>F37/(SQRT(2))</f>
        <v>211.80000000000015</v>
      </c>
      <c r="I37" t="s">
        <v>36</v>
      </c>
      <c r="J37" s="1">
        <v>45183</v>
      </c>
    </row>
    <row r="38" spans="1:10" x14ac:dyDescent="0.2">
      <c r="A38" t="s">
        <v>27</v>
      </c>
      <c r="B38" s="2">
        <v>45145</v>
      </c>
      <c r="C38" s="3">
        <v>1</v>
      </c>
      <c r="D38">
        <v>2378.1999999999998</v>
      </c>
      <c r="J38" s="1">
        <v>45183</v>
      </c>
    </row>
    <row r="39" spans="1:10" x14ac:dyDescent="0.2">
      <c r="A39" s="3" t="s">
        <v>27</v>
      </c>
      <c r="B39" s="2">
        <v>45145</v>
      </c>
      <c r="C39" s="3">
        <v>2</v>
      </c>
      <c r="D39">
        <v>2374.3000000000002</v>
      </c>
      <c r="E39">
        <f>AVERAGE(D38:D39)</f>
        <v>2376.25</v>
      </c>
      <c r="F39">
        <f>STDEV(D38:D39)</f>
        <v>2.7577164466272781</v>
      </c>
      <c r="G39">
        <f>F39/(SQRT(2))</f>
        <v>1.9499999999998179</v>
      </c>
      <c r="J39" s="1">
        <v>45183</v>
      </c>
    </row>
    <row r="40" spans="1:10" x14ac:dyDescent="0.2">
      <c r="A40" t="s">
        <v>28</v>
      </c>
      <c r="B40" s="2">
        <v>45145</v>
      </c>
      <c r="C40" s="3">
        <v>1</v>
      </c>
      <c r="D40">
        <v>1770.3</v>
      </c>
      <c r="J40" s="1">
        <v>45183</v>
      </c>
    </row>
    <row r="41" spans="1:10" x14ac:dyDescent="0.2">
      <c r="A41" t="s">
        <v>28</v>
      </c>
      <c r="B41" s="2">
        <v>45145</v>
      </c>
      <c r="C41" s="3">
        <v>2</v>
      </c>
      <c r="D41">
        <v>1769.8</v>
      </c>
      <c r="E41">
        <f>AVERAGE(D40:D41)</f>
        <v>1770.05</v>
      </c>
      <c r="F41">
        <f>STDEV(D40:D41)</f>
        <v>0.35355339059327379</v>
      </c>
      <c r="G41">
        <f>F41/(SQRT(2))</f>
        <v>0.25</v>
      </c>
      <c r="J41" s="1">
        <v>45183</v>
      </c>
    </row>
    <row r="42" spans="1:10" x14ac:dyDescent="0.2">
      <c r="A42" t="s">
        <v>29</v>
      </c>
      <c r="B42" s="2">
        <v>45145</v>
      </c>
      <c r="C42" s="3">
        <v>1</v>
      </c>
      <c r="D42">
        <v>2736.4</v>
      </c>
      <c r="J42" s="1">
        <v>45183</v>
      </c>
    </row>
    <row r="43" spans="1:10" x14ac:dyDescent="0.2">
      <c r="A43" t="s">
        <v>29</v>
      </c>
      <c r="B43" s="2">
        <v>45145</v>
      </c>
      <c r="C43" s="3">
        <v>2</v>
      </c>
      <c r="D43">
        <v>2729.8</v>
      </c>
      <c r="E43">
        <f>AVERAGE(D42:D43)</f>
        <v>2733.1000000000004</v>
      </c>
      <c r="F43">
        <f>STDEV(D42:D43)</f>
        <v>4.6669047558311494</v>
      </c>
      <c r="G43">
        <f>F43/(SQRT(2))</f>
        <v>3.2999999999999545</v>
      </c>
      <c r="J43" s="1">
        <v>45183</v>
      </c>
    </row>
    <row r="44" spans="1:10" x14ac:dyDescent="0.2">
      <c r="A44" t="s">
        <v>30</v>
      </c>
      <c r="B44" s="2">
        <v>45145</v>
      </c>
      <c r="C44" s="3">
        <v>1</v>
      </c>
      <c r="D44">
        <v>2109.3000000000002</v>
      </c>
      <c r="J44" s="1">
        <v>45183</v>
      </c>
    </row>
    <row r="45" spans="1:10" x14ac:dyDescent="0.2">
      <c r="A45" t="s">
        <v>30</v>
      </c>
      <c r="B45" s="2">
        <v>45145</v>
      </c>
      <c r="C45" s="3">
        <v>2</v>
      </c>
      <c r="D45">
        <v>2114.6</v>
      </c>
      <c r="E45">
        <f>AVERAGE(D44:D45)</f>
        <v>2111.9499999999998</v>
      </c>
      <c r="F45">
        <f>STDEV(D44:D45)</f>
        <v>3.7476659402885089</v>
      </c>
      <c r="G45">
        <f>F45/(SQRT(2))</f>
        <v>2.6499999999998631</v>
      </c>
      <c r="J45" s="1">
        <v>45183</v>
      </c>
    </row>
    <row r="46" spans="1:10" x14ac:dyDescent="0.2">
      <c r="A46" t="s">
        <v>32</v>
      </c>
      <c r="B46" s="2">
        <v>45145</v>
      </c>
      <c r="C46" s="3">
        <v>1</v>
      </c>
      <c r="D46">
        <v>1935.9</v>
      </c>
      <c r="J46" s="1">
        <v>45183</v>
      </c>
    </row>
    <row r="47" spans="1:10" x14ac:dyDescent="0.2">
      <c r="A47" t="s">
        <v>32</v>
      </c>
      <c r="B47" s="2">
        <v>45145</v>
      </c>
      <c r="C47" s="3">
        <v>2</v>
      </c>
      <c r="D47">
        <v>1928.4</v>
      </c>
      <c r="E47">
        <f>AVERAGE(D46:D47)</f>
        <v>1932.15</v>
      </c>
      <c r="F47">
        <f>STDEV(D46:D47)</f>
        <v>5.3033008588991066</v>
      </c>
      <c r="G47">
        <f>F47/(SQRT(2))</f>
        <v>3.75</v>
      </c>
      <c r="J47" s="1">
        <v>45183</v>
      </c>
    </row>
    <row r="48" spans="1:10" x14ac:dyDescent="0.2">
      <c r="A48" t="s">
        <v>33</v>
      </c>
      <c r="B48" s="2">
        <v>45182</v>
      </c>
      <c r="C48" s="3">
        <v>1</v>
      </c>
      <c r="D48">
        <v>2210.6</v>
      </c>
      <c r="E48">
        <v>2210.6</v>
      </c>
      <c r="H48">
        <v>2210.4</v>
      </c>
      <c r="J48" s="1">
        <v>45182</v>
      </c>
    </row>
    <row r="49" spans="1:10" x14ac:dyDescent="0.2">
      <c r="A49" t="s">
        <v>33</v>
      </c>
      <c r="B49" s="2">
        <v>45183</v>
      </c>
      <c r="C49" s="3">
        <v>1</v>
      </c>
      <c r="D49">
        <v>2203.1</v>
      </c>
      <c r="E49">
        <v>2203.1</v>
      </c>
      <c r="H49">
        <v>2210.4</v>
      </c>
      <c r="J49" s="1">
        <v>45183</v>
      </c>
    </row>
  </sheetData>
  <autoFilter ref="E7:E49" xr:uid="{D530F72A-BD58-7046-A6D1-5DDC92C98DEC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84EB-CB40-2F47-98AB-C7489F4739A3}">
  <dimension ref="A3:J26"/>
  <sheetViews>
    <sheetView tabSelected="1" workbookViewId="0">
      <selection activeCell="K37" sqref="K37"/>
    </sheetView>
  </sheetViews>
  <sheetFormatPr baseColWidth="10" defaultRowHeight="16" x14ac:dyDescent="0.2"/>
  <cols>
    <col min="2" max="2" width="15.6640625" customWidth="1"/>
  </cols>
  <sheetData>
    <row r="3" spans="1:6" x14ac:dyDescent="0.2">
      <c r="A3" t="s">
        <v>34</v>
      </c>
    </row>
    <row r="5" spans="1:6" x14ac:dyDescent="0.2">
      <c r="A5" t="s">
        <v>0</v>
      </c>
      <c r="B5" t="s">
        <v>31</v>
      </c>
      <c r="C5" t="s">
        <v>3</v>
      </c>
      <c r="D5" t="s">
        <v>4</v>
      </c>
      <c r="E5" t="s">
        <v>5</v>
      </c>
      <c r="F5" t="s">
        <v>26</v>
      </c>
    </row>
    <row r="6" spans="1:6" x14ac:dyDescent="0.2">
      <c r="A6" s="3" t="s">
        <v>10</v>
      </c>
      <c r="B6" s="4">
        <v>45146.229166666664</v>
      </c>
      <c r="C6" s="3">
        <v>1353.25</v>
      </c>
      <c r="D6" s="3">
        <v>0.63639610000000002</v>
      </c>
      <c r="E6" s="3">
        <v>0.45</v>
      </c>
      <c r="F6" s="5">
        <v>45181</v>
      </c>
    </row>
    <row r="7" spans="1:6" x14ac:dyDescent="0.2">
      <c r="A7" s="3" t="s">
        <v>11</v>
      </c>
      <c r="B7" s="4">
        <v>45146.270833333336</v>
      </c>
      <c r="C7" s="3">
        <v>1401.5</v>
      </c>
      <c r="D7" s="3">
        <v>17.9605122</v>
      </c>
      <c r="E7" s="3">
        <v>12.7</v>
      </c>
      <c r="F7" s="5">
        <v>45181</v>
      </c>
    </row>
    <row r="8" spans="1:6" x14ac:dyDescent="0.2">
      <c r="A8" s="3" t="s">
        <v>12</v>
      </c>
      <c r="B8" s="4">
        <v>45146.3125</v>
      </c>
      <c r="C8" s="3">
        <v>1057.95</v>
      </c>
      <c r="D8" s="3">
        <v>1.90918831</v>
      </c>
      <c r="E8" s="3">
        <v>1.35</v>
      </c>
      <c r="F8" s="5">
        <v>45181</v>
      </c>
    </row>
    <row r="9" spans="1:6" x14ac:dyDescent="0.2">
      <c r="A9" s="3" t="s">
        <v>13</v>
      </c>
      <c r="B9" s="4">
        <v>45146.354166666664</v>
      </c>
      <c r="C9" s="3">
        <v>1094.05</v>
      </c>
      <c r="D9" s="3">
        <v>7.0003571300000003</v>
      </c>
      <c r="E9" s="3">
        <v>4.95</v>
      </c>
      <c r="F9" s="5">
        <v>45181</v>
      </c>
    </row>
    <row r="10" spans="1:6" x14ac:dyDescent="0.2">
      <c r="A10" s="3" t="s">
        <v>14</v>
      </c>
      <c r="B10" s="4">
        <v>45146.395833333336</v>
      </c>
      <c r="C10" s="3">
        <v>1399.1</v>
      </c>
      <c r="D10" s="3">
        <v>3.39411255</v>
      </c>
      <c r="E10" s="3">
        <v>2.4</v>
      </c>
      <c r="F10" s="5">
        <v>45181</v>
      </c>
    </row>
    <row r="11" spans="1:6" x14ac:dyDescent="0.2">
      <c r="A11" s="3" t="s">
        <v>15</v>
      </c>
      <c r="B11" s="4">
        <v>45146.4375</v>
      </c>
      <c r="C11" s="3">
        <v>1487.1</v>
      </c>
      <c r="D11" s="3">
        <v>4.1012193300000002</v>
      </c>
      <c r="E11" s="3">
        <v>2.9</v>
      </c>
      <c r="F11" s="5">
        <v>45181</v>
      </c>
    </row>
    <row r="12" spans="1:6" x14ac:dyDescent="0.2">
      <c r="A12" s="3" t="s">
        <v>16</v>
      </c>
      <c r="B12" s="4">
        <v>45146.479166666664</v>
      </c>
      <c r="C12" s="3">
        <v>1408</v>
      </c>
      <c r="D12" s="3">
        <v>1.5556349199999999</v>
      </c>
      <c r="E12" s="3">
        <v>1.1000000000000001</v>
      </c>
      <c r="F12" s="5">
        <v>45181</v>
      </c>
    </row>
    <row r="13" spans="1:6" x14ac:dyDescent="0.2">
      <c r="A13" s="3" t="s">
        <v>17</v>
      </c>
      <c r="B13" s="4">
        <v>45146.520833333336</v>
      </c>
      <c r="C13" s="3">
        <v>1718.85</v>
      </c>
      <c r="D13" s="3">
        <v>0.63639610000000002</v>
      </c>
      <c r="E13" s="3">
        <v>0.45</v>
      </c>
      <c r="F13" s="5">
        <v>45181</v>
      </c>
    </row>
    <row r="14" spans="1:6" x14ac:dyDescent="0.2">
      <c r="A14" s="3" t="s">
        <v>19</v>
      </c>
      <c r="B14" s="4">
        <v>45146.5625</v>
      </c>
      <c r="C14" s="3">
        <v>1727.1</v>
      </c>
      <c r="D14" s="3">
        <v>121.056681</v>
      </c>
      <c r="E14" s="3">
        <v>85.6</v>
      </c>
      <c r="F14" s="5">
        <v>45182</v>
      </c>
    </row>
    <row r="15" spans="1:6" x14ac:dyDescent="0.2">
      <c r="A15" s="3" t="s">
        <v>20</v>
      </c>
      <c r="B15" s="4">
        <v>45146.604166666664</v>
      </c>
      <c r="C15" s="3">
        <v>1942.15</v>
      </c>
      <c r="D15" s="3">
        <v>0.91923882000000001</v>
      </c>
      <c r="E15" s="3">
        <v>0.65</v>
      </c>
      <c r="F15" s="5">
        <v>45182</v>
      </c>
    </row>
    <row r="16" spans="1:6" x14ac:dyDescent="0.2">
      <c r="A16" s="3" t="s">
        <v>21</v>
      </c>
      <c r="B16" s="4">
        <v>45146.645833333336</v>
      </c>
      <c r="C16" s="3">
        <v>1960.75</v>
      </c>
      <c r="D16" s="3">
        <v>1.6263456000000001</v>
      </c>
      <c r="E16" s="3">
        <v>1.1499999999999999</v>
      </c>
      <c r="F16" s="5">
        <v>45182</v>
      </c>
    </row>
    <row r="17" spans="1:10" x14ac:dyDescent="0.2">
      <c r="A17" s="3" t="s">
        <v>22</v>
      </c>
      <c r="B17" s="4">
        <v>45146.6875</v>
      </c>
      <c r="C17" s="3">
        <v>1959.75</v>
      </c>
      <c r="D17" s="3">
        <v>0.91923882000000001</v>
      </c>
      <c r="E17" s="3">
        <v>0.65</v>
      </c>
      <c r="F17" s="5">
        <v>45182</v>
      </c>
    </row>
    <row r="18" spans="1:10" x14ac:dyDescent="0.2">
      <c r="A18" s="3" t="s">
        <v>23</v>
      </c>
      <c r="B18" s="4">
        <v>45146.729166666664</v>
      </c>
      <c r="C18" s="3">
        <v>1927.7</v>
      </c>
      <c r="D18" s="3">
        <v>0.42426406999999999</v>
      </c>
      <c r="E18" s="3">
        <v>0.3</v>
      </c>
      <c r="F18" s="5">
        <v>45182</v>
      </c>
    </row>
    <row r="19" spans="1:10" x14ac:dyDescent="0.2">
      <c r="A19" s="3" t="s">
        <v>24</v>
      </c>
      <c r="B19" s="4">
        <v>45145</v>
      </c>
      <c r="C19" s="3">
        <v>4620.3</v>
      </c>
      <c r="D19" s="3">
        <v>299.53043300000002</v>
      </c>
      <c r="E19" s="3">
        <v>211.8</v>
      </c>
      <c r="F19" s="5">
        <v>45183</v>
      </c>
    </row>
    <row r="20" spans="1:10" x14ac:dyDescent="0.2">
      <c r="A20" s="3" t="s">
        <v>27</v>
      </c>
      <c r="B20" s="4">
        <v>45145</v>
      </c>
      <c r="C20" s="3">
        <v>2376.25</v>
      </c>
      <c r="D20" s="3">
        <v>2.7577164500000002</v>
      </c>
      <c r="E20" s="3">
        <v>1.95</v>
      </c>
      <c r="F20" s="5">
        <v>45183</v>
      </c>
    </row>
    <row r="21" spans="1:10" x14ac:dyDescent="0.2">
      <c r="A21" s="3" t="s">
        <v>28</v>
      </c>
      <c r="B21" s="4">
        <v>45145</v>
      </c>
      <c r="C21" s="3">
        <v>1770.05</v>
      </c>
      <c r="D21" s="3">
        <v>0.35355339000000002</v>
      </c>
      <c r="E21" s="3">
        <v>0.25</v>
      </c>
      <c r="F21" s="5">
        <v>45183</v>
      </c>
    </row>
    <row r="22" spans="1:10" x14ac:dyDescent="0.2">
      <c r="A22" s="3" t="s">
        <v>29</v>
      </c>
      <c r="B22" s="4">
        <v>45145</v>
      </c>
      <c r="C22" s="3">
        <v>2733.1</v>
      </c>
      <c r="D22" s="3">
        <v>4.6669047600000004</v>
      </c>
      <c r="E22" s="3">
        <v>3.3</v>
      </c>
      <c r="F22" s="5">
        <v>45183</v>
      </c>
    </row>
    <row r="23" spans="1:10" x14ac:dyDescent="0.2">
      <c r="A23" s="3" t="s">
        <v>30</v>
      </c>
      <c r="B23" s="4">
        <v>45145</v>
      </c>
      <c r="C23" s="3">
        <v>2111.9499999999998</v>
      </c>
      <c r="D23" s="3">
        <v>3.7476659400000001</v>
      </c>
      <c r="E23" s="3">
        <v>2.65</v>
      </c>
      <c r="F23" s="5">
        <v>45183</v>
      </c>
    </row>
    <row r="24" spans="1:10" x14ac:dyDescent="0.2">
      <c r="A24" s="3" t="s">
        <v>32</v>
      </c>
      <c r="B24" s="4">
        <v>45145</v>
      </c>
      <c r="C24" s="3">
        <v>1932.15</v>
      </c>
      <c r="D24" s="3">
        <v>5.3033008600000002</v>
      </c>
      <c r="E24" s="3">
        <v>3.75</v>
      </c>
      <c r="F24" s="5">
        <v>45183</v>
      </c>
    </row>
    <row r="25" spans="1:10" x14ac:dyDescent="0.2">
      <c r="A25" s="3"/>
      <c r="B25" s="4"/>
      <c r="C25" s="3"/>
      <c r="D25" s="3"/>
      <c r="E25" s="3"/>
      <c r="F25" s="3"/>
      <c r="G25" s="3"/>
      <c r="H25" s="3"/>
      <c r="I25" s="3"/>
      <c r="J25" s="3"/>
    </row>
    <row r="26" spans="1:10" x14ac:dyDescent="0.2">
      <c r="A26" s="3"/>
      <c r="B26" s="4"/>
      <c r="C26" s="3"/>
      <c r="D26" s="3"/>
      <c r="E26" s="3"/>
      <c r="F26" s="3"/>
      <c r="G26" s="3"/>
      <c r="H26" s="3"/>
      <c r="I26" s="3"/>
      <c r="J26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dataset</vt:lpstr>
      <vt:lpstr>Sample averages for graphing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Amanda</dc:creator>
  <cp:lastModifiedBy>Reynolds, Amanda</cp:lastModifiedBy>
  <dcterms:created xsi:type="dcterms:W3CDTF">2023-11-22T18:56:15Z</dcterms:created>
  <dcterms:modified xsi:type="dcterms:W3CDTF">2023-11-22T20:24:44Z</dcterms:modified>
</cp:coreProperties>
</file>