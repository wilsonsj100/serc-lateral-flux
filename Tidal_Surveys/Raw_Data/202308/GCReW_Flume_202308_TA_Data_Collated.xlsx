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People\Wilson (Steph)\Data\RAD7\July 2023 Tidal Survey\Survey Data\"/>
    </mc:Choice>
  </mc:AlternateContent>
  <xr:revisionPtr revIDLastSave="0" documentId="13_ncr:1_{574E162E-3960-4045-AB80-56787CC2CA0D}" xr6:coauthVersionLast="47" xr6:coauthVersionMax="47" xr10:uidLastSave="{00000000-0000-0000-0000-000000000000}"/>
  <bookViews>
    <workbookView xWindow="-120" yWindow="-120" windowWidth="29040" windowHeight="15720" xr2:uid="{5CBB19E9-3B87-4389-A263-7E3E5254F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6" i="1"/>
  <c r="F54" i="1"/>
  <c r="F52" i="1"/>
  <c r="F50" i="1"/>
  <c r="F48" i="1"/>
  <c r="F46" i="1"/>
  <c r="F44" i="1"/>
  <c r="F42" i="1"/>
  <c r="F40" i="1"/>
  <c r="F38" i="1"/>
  <c r="F36" i="1"/>
  <c r="F34" i="1"/>
  <c r="F32" i="1"/>
  <c r="F29" i="1"/>
  <c r="F27" i="1"/>
  <c r="F25" i="1"/>
  <c r="F23" i="1"/>
  <c r="F21" i="1"/>
  <c r="F19" i="1"/>
  <c r="F17" i="1"/>
  <c r="F15" i="1"/>
  <c r="F10" i="1"/>
  <c r="F8" i="1"/>
</calcChain>
</file>

<file path=xl/sharedStrings.xml><?xml version="1.0" encoding="utf-8"?>
<sst xmlns="http://schemas.openxmlformats.org/spreadsheetml/2006/main" count="151" uniqueCount="150">
  <si>
    <t>Sample ID</t>
  </si>
  <si>
    <t>Result</t>
  </si>
  <si>
    <t>FTS2023 8/8 5:30rep3, 3</t>
  </si>
  <si>
    <t>1.3546 mmol/L</t>
  </si>
  <si>
    <t>FTS2023 8/8 5:30rep4, 4</t>
  </si>
  <si>
    <t>1.3479 mmol/L ?¹?</t>
  </si>
  <si>
    <t>FTS2023 8/8 7:30rep3, 5</t>
  </si>
  <si>
    <t>1.0368 mmol/L</t>
  </si>
  <si>
    <t>FTS2023 8/8 0830 rep3, 6</t>
  </si>
  <si>
    <t>1.0827 mmol/L</t>
  </si>
  <si>
    <t>FTS2023 8/8 0930rep3, 7</t>
  </si>
  <si>
    <t>1.3784 mmol/L ???</t>
  </si>
  <si>
    <t>FTS2023 8/81030 rep3, 8</t>
  </si>
  <si>
    <t>1.4660 mmol/L ???</t>
  </si>
  <si>
    <t>FTS2023 8/81030 rep4, 9</t>
  </si>
  <si>
    <t>1.4709 mmol/L ?¹?</t>
  </si>
  <si>
    <t>FTS2023 8/8 1230 rep3, 10</t>
  </si>
  <si>
    <t>1.6967 mmol/L ???</t>
  </si>
  <si>
    <t>FTS2023 8/8 1230 rep4, 11</t>
  </si>
  <si>
    <t>1.7260 mmol/L</t>
  </si>
  <si>
    <t>FTS2023 8/8 1430 rep3, 12</t>
  </si>
  <si>
    <t>1.9364 mmol/L ???</t>
  </si>
  <si>
    <t>FTS2023 8/8 1430 rep4, 13</t>
  </si>
  <si>
    <t>1.9334 mmol/L ???</t>
  </si>
  <si>
    <t>FTS2023 8/8 1530 rep3, 14</t>
  </si>
  <si>
    <t>1.9449 mmol/L ???</t>
  </si>
  <si>
    <t>FTS2023 8/8 1530 rep4, 15</t>
  </si>
  <si>
    <t>FTS2023 8/81630 rep3, 16</t>
  </si>
  <si>
    <t>1.9442 mmol/L</t>
  </si>
  <si>
    <t>FTS2023 8/8 1630 rep4, 17</t>
  </si>
  <si>
    <t>1.9466 mmol/L</t>
  </si>
  <si>
    <t>NaN mmol/L</t>
  </si>
  <si>
    <t>FTS2023GW-TS1NW1 8/16 11:00rep2, 3</t>
  </si>
  <si>
    <t>CRM 209-0435-1, 1</t>
  </si>
  <si>
    <t>2.2082 mmol/L ???</t>
  </si>
  <si>
    <t>CRM 209-0435-2, 2</t>
  </si>
  <si>
    <t>2.2184 mmol/L ???</t>
  </si>
  <si>
    <t>FTS 8/8 6:30-rep3, 3</t>
  </si>
  <si>
    <t>1.3699 mmol/L ?¹?</t>
  </si>
  <si>
    <t>FTS 8/8 11:30-rep3, 4</t>
  </si>
  <si>
    <t>1.4064 mmol/L</t>
  </si>
  <si>
    <t>FTS 8/8 13:30  rep3, 5</t>
  </si>
  <si>
    <t>1.8106 mmol/L ???</t>
  </si>
  <si>
    <t>FTS 8/8 17:30  rep3, 6</t>
  </si>
  <si>
    <t>1.9168 mmol/L ???</t>
  </si>
  <si>
    <t>FTS 8/7 GW1-11:10, 7</t>
  </si>
  <si>
    <t>2.5304 mmol/L ???</t>
  </si>
  <si>
    <t>FTS 8/8 6:30-rep4, 8</t>
  </si>
  <si>
    <t>1.3740 mmol/L ?¹?</t>
  </si>
  <si>
    <t>FTS 8/8 11:30 rep4, 9</t>
  </si>
  <si>
    <t>1.4037 mmol/L</t>
  </si>
  <si>
    <t>FTS 8/8 17;30 rep4, 10</t>
  </si>
  <si>
    <t>1.9163 mmol/L ???</t>
  </si>
  <si>
    <t>FTS 8/8 13:30 rep4, 11</t>
  </si>
  <si>
    <t>1.8075 mmol/L ???</t>
  </si>
  <si>
    <t>GW1 8/15 11:30 rep1, 12</t>
  </si>
  <si>
    <t>4.2568 mmol/L ???</t>
  </si>
  <si>
    <t>GW1 8/15 11:30 rep2, 13</t>
  </si>
  <si>
    <t>4.2616 mmol/L ???</t>
  </si>
  <si>
    <t>GW2 8/15 11:10 rep1, 14</t>
  </si>
  <si>
    <t>2.9547 mmol/L ???</t>
  </si>
  <si>
    <t>GW2 8/15 11:10 rep2, 15</t>
  </si>
  <si>
    <t>2.9565 mmol/L ???</t>
  </si>
  <si>
    <t>GW3 8/15 10:50 rep1, 16</t>
  </si>
  <si>
    <t>1.6699 mmol/L ???</t>
  </si>
  <si>
    <t>GW3 8/15 10:50 rep2, 17</t>
  </si>
  <si>
    <t>1.6664 mmol/L ?¹?</t>
  </si>
  <si>
    <t>GW4 8/15 10:30 rep1, 1(18)</t>
  </si>
  <si>
    <t>2.4342 mmol/L ???</t>
  </si>
  <si>
    <t>GW4 8/15 10:30 rep2, 2(19)</t>
  </si>
  <si>
    <t>2.4270 mmol/L ???</t>
  </si>
  <si>
    <t>GW5 8/15 rep1, 3(20)</t>
  </si>
  <si>
    <t>5.7750 mmol/L ?¹?</t>
  </si>
  <si>
    <t>GW6 8/15 09:44 rep1, 4(21)</t>
  </si>
  <si>
    <t>3.2414 mmol/L ???</t>
  </si>
  <si>
    <t>GW6 8/15 09:44 rep2, 5(22)</t>
  </si>
  <si>
    <t>3.2472 mmol/L ???</t>
  </si>
  <si>
    <t>CRM 209-0435, 6(23)</t>
  </si>
  <si>
    <t>2.2138 mmol/L ???</t>
  </si>
  <si>
    <t>GW2 8/7 10:30 rep3, 7(24)</t>
  </si>
  <si>
    <t>2.4384 mmol/L ???</t>
  </si>
  <si>
    <t>GW2 8/7 10:30 rep4, 8(25)</t>
  </si>
  <si>
    <t>2.3975 mmol/L ???</t>
  </si>
  <si>
    <t>GW3 8/7 0945rep3, 9(26)</t>
  </si>
  <si>
    <t>1.7870 mmol/L ???</t>
  </si>
  <si>
    <t>GW4 8/7 0920 rep3, 10(27)</t>
  </si>
  <si>
    <t>2.5497 mmol/L ?¹'¹²?</t>
  </si>
  <si>
    <t>NA</t>
  </si>
  <si>
    <t>GW5 8/7 0850 rep3, 11(1)</t>
  </si>
  <si>
    <t>2.1109 mmol/L ???</t>
  </si>
  <si>
    <t>GW6 8/7 0815 rep3, 12(2)</t>
  </si>
  <si>
    <t>1.9435 mmol/L ???</t>
  </si>
  <si>
    <t>CRM 209-0435, 13(3)</t>
  </si>
  <si>
    <t>2.2111 mmol/L ???</t>
  </si>
  <si>
    <t>FTS 2023 8/16 0530-rep1, 14(4)</t>
  </si>
  <si>
    <t>1.4967 mmol/L ???</t>
  </si>
  <si>
    <t>FTS 2023 8/16 0530-rep2, 15(5)</t>
  </si>
  <si>
    <t>1.4949 mmol/L ???</t>
  </si>
  <si>
    <t>FTS 2023 8/16 0630 rep1, 16(6)</t>
  </si>
  <si>
    <t>1.5103 mmol/L ?¹?</t>
  </si>
  <si>
    <t>FTS 2023 8/16 0630 rep2, 17(7)</t>
  </si>
  <si>
    <t>1.5085 mmol/L ???</t>
  </si>
  <si>
    <t>FTS 2023 8/16 0730 rep1, 1(8)</t>
  </si>
  <si>
    <t>1.5673 mmol/L ?¹?</t>
  </si>
  <si>
    <t>FTS 2023 8/16 0730 rep2, 2(9)</t>
  </si>
  <si>
    <t>1.5598 mmol/L ?¹?</t>
  </si>
  <si>
    <t>FTS 2023 8/16 0830 0830 rep1, 3(10)</t>
  </si>
  <si>
    <t>1.6619 mmol/L ???</t>
  </si>
  <si>
    <t>FTS 2023 8/16 0830 0830 rep2, 4(11)</t>
  </si>
  <si>
    <t>1.6634 mmol/L ???</t>
  </si>
  <si>
    <t>FTS 2023 8/16 0930 rep1, 5(12)</t>
  </si>
  <si>
    <t>1.8306 mmol/L ???</t>
  </si>
  <si>
    <t>FTS 2023 8/16 0930 rep2, 6(13)</t>
  </si>
  <si>
    <t>1.8295 mmol/L ???</t>
  </si>
  <si>
    <t>FTS 2023 8/16 1030 (rep1), 7(14)</t>
  </si>
  <si>
    <t>2.0248 mmol/L ???</t>
  </si>
  <si>
    <t>FTS 2023 8/16 1030 (rep2), 8(15)</t>
  </si>
  <si>
    <t>2.0282 mmol/L ???</t>
  </si>
  <si>
    <t>FTS 2023 8/16 1130 rep1, 9(16)</t>
  </si>
  <si>
    <t>2.1835 mmol/L ???</t>
  </si>
  <si>
    <t>FTS 2023 8/16 1130 rep2, 10(17)</t>
  </si>
  <si>
    <t>2.1806 mmol/L ?¹?</t>
  </si>
  <si>
    <t>FTS 2023 8/16 1230 rep1, 11(18)</t>
  </si>
  <si>
    <t>2.2690 mmol/L ?¹?</t>
  </si>
  <si>
    <t>FTS 2023 8/16 1230 rep2, 12(19)</t>
  </si>
  <si>
    <t>2.2701 mmol/L ???</t>
  </si>
  <si>
    <t>FTS 2023 8/16 13:30 rep1, 13(20)</t>
  </si>
  <si>
    <t>2.2898 mmol/L ???</t>
  </si>
  <si>
    <t>FTS 2023 8/16 13:30 rep2, 14(21)</t>
  </si>
  <si>
    <t>2.2862 mmol/L ???</t>
  </si>
  <si>
    <t>CRM 209-0435, 15(22)</t>
  </si>
  <si>
    <t>2.2069 mmol/L ???</t>
  </si>
  <si>
    <t>FTS 2023 8/16 14:30 rep1, 16(23)</t>
  </si>
  <si>
    <t>2.1798 mmol/L ?¹?</t>
  </si>
  <si>
    <t>FTS 2023 8/16 14:30 rep2, 17(24)</t>
  </si>
  <si>
    <t>2.1424 mmol/L ???</t>
  </si>
  <si>
    <t>FTS 2023 8/16 15:30 rep1, 1(25)</t>
  </si>
  <si>
    <t>2.0962 mmol/L ???</t>
  </si>
  <si>
    <t>FTS 2023 8/16 15:30 rep2, 2(26)</t>
  </si>
  <si>
    <t>2.0971 mmol/L ???</t>
  </si>
  <si>
    <t>FTS 2023 8/16 16:30 rep1, 3(27)</t>
  </si>
  <si>
    <t>2.0528 mmol/L ???</t>
  </si>
  <si>
    <t>FTS 2023 8/16 16:30 rep2, 4(28)</t>
  </si>
  <si>
    <t>2.0554 mmol/L ???</t>
  </si>
  <si>
    <t>FTS 2023 8/16 17:30 rep1, 5(29)</t>
  </si>
  <si>
    <t>1.9278 mmol/L ???</t>
  </si>
  <si>
    <t>FTS 2023 8/16 17:30 rep2, 6(30)</t>
  </si>
  <si>
    <t>1.9278 mmol/L ?¹?</t>
  </si>
  <si>
    <t>TA mmol/L</t>
  </si>
  <si>
    <t xml:space="preserve">Avgs.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</si>
</sst>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DD80-06AC-444C-9665-621E234C63DA}">
  <dimension ref="A1:F76"/>
  <sheetViews>
    <sheetView tabSelected="1" topLeftCell="A22" workbookViewId="0">
      <selection activeCell="J38" sqref="J38"/>
    </sheetView>
  </sheetViews>
  <sheetFormatPr defaultRowHeight="15" x14ac:dyDescent="0.25"/>
  <cols>
    <col min="1" max="1" width="34.7109375" bestFit="1" customWidth="1"/>
    <col min="2" max="2" width="19" bestFit="1" customWidth="1"/>
  </cols>
  <sheetData>
    <row r="1" spans="1:6" x14ac:dyDescent="0.25">
      <c r="A1" t="s">
        <v>0</v>
      </c>
      <c r="B1" t="s">
        <v>1</v>
      </c>
      <c r="C1" t="s">
        <v>148</v>
      </c>
      <c r="E1" t="s">
        <v>149</v>
      </c>
    </row>
    <row r="2" spans="1:6" x14ac:dyDescent="0.25">
      <c r="A2" t="s">
        <v>77</v>
      </c>
      <c r="B2" t="s">
        <v>78</v>
      </c>
      <c r="C2">
        <v>2.2138</v>
      </c>
    </row>
    <row r="3" spans="1:6" x14ac:dyDescent="0.25">
      <c r="A3" t="s">
        <v>33</v>
      </c>
      <c r="B3" t="s">
        <v>34</v>
      </c>
      <c r="C3">
        <v>2.2082000000000002</v>
      </c>
    </row>
    <row r="4" spans="1:6" x14ac:dyDescent="0.25">
      <c r="A4" t="s">
        <v>35</v>
      </c>
      <c r="B4" t="s">
        <v>36</v>
      </c>
      <c r="C4">
        <v>2.2183999999999999</v>
      </c>
    </row>
    <row r="5" spans="1:6" x14ac:dyDescent="0.25">
      <c r="A5" t="s">
        <v>92</v>
      </c>
      <c r="B5" t="s">
        <v>93</v>
      </c>
      <c r="C5">
        <v>2.2111000000000001</v>
      </c>
    </row>
    <row r="6" spans="1:6" x14ac:dyDescent="0.25">
      <c r="A6" t="s">
        <v>130</v>
      </c>
      <c r="B6" t="s">
        <v>131</v>
      </c>
      <c r="C6">
        <v>2.2069000000000001</v>
      </c>
      <c r="F6">
        <f>AVERAGE(C2:C6)</f>
        <v>2.2116800000000003</v>
      </c>
    </row>
    <row r="7" spans="1:6" x14ac:dyDescent="0.25">
      <c r="A7" t="s">
        <v>2</v>
      </c>
      <c r="B7" t="s">
        <v>3</v>
      </c>
      <c r="C7">
        <v>1.3546</v>
      </c>
    </row>
    <row r="8" spans="1:6" x14ac:dyDescent="0.25">
      <c r="A8" t="s">
        <v>4</v>
      </c>
      <c r="B8" t="s">
        <v>5</v>
      </c>
      <c r="C8">
        <v>1.3479000000000001</v>
      </c>
      <c r="F8">
        <f>AVERAGE(C7:C8)</f>
        <v>1.3512500000000001</v>
      </c>
    </row>
    <row r="9" spans="1:6" x14ac:dyDescent="0.25">
      <c r="A9" t="s">
        <v>37</v>
      </c>
      <c r="B9" t="s">
        <v>38</v>
      </c>
      <c r="C9">
        <v>1.3698999999999999</v>
      </c>
    </row>
    <row r="10" spans="1:6" x14ac:dyDescent="0.25">
      <c r="A10" t="s">
        <v>47</v>
      </c>
      <c r="B10" t="s">
        <v>48</v>
      </c>
      <c r="C10">
        <v>1.3740000000000001</v>
      </c>
      <c r="F10">
        <f>AVERAGE(C9:C10)</f>
        <v>1.37195</v>
      </c>
    </row>
    <row r="11" spans="1:6" x14ac:dyDescent="0.25">
      <c r="A11" t="s">
        <v>6</v>
      </c>
      <c r="B11" t="s">
        <v>7</v>
      </c>
      <c r="C11">
        <v>1.0367999999999999</v>
      </c>
    </row>
    <row r="12" spans="1:6" x14ac:dyDescent="0.25">
      <c r="A12" t="s">
        <v>8</v>
      </c>
      <c r="B12" t="s">
        <v>9</v>
      </c>
      <c r="C12">
        <v>1.0827</v>
      </c>
    </row>
    <row r="13" spans="1:6" x14ac:dyDescent="0.25">
      <c r="A13" t="s">
        <v>10</v>
      </c>
      <c r="B13" t="s">
        <v>11</v>
      </c>
      <c r="C13">
        <v>1.3784000000000001</v>
      </c>
    </row>
    <row r="14" spans="1:6" x14ac:dyDescent="0.25">
      <c r="A14" t="s">
        <v>12</v>
      </c>
      <c r="B14" t="s">
        <v>13</v>
      </c>
      <c r="C14">
        <v>1.466</v>
      </c>
    </row>
    <row r="15" spans="1:6" x14ac:dyDescent="0.25">
      <c r="A15" t="s">
        <v>14</v>
      </c>
      <c r="B15" t="s">
        <v>15</v>
      </c>
      <c r="C15">
        <v>1.4709000000000001</v>
      </c>
      <c r="F15">
        <f>AVERAGE(C14:C15)</f>
        <v>1.46845</v>
      </c>
    </row>
    <row r="16" spans="1:6" x14ac:dyDescent="0.25">
      <c r="A16" t="s">
        <v>39</v>
      </c>
      <c r="B16" t="s">
        <v>40</v>
      </c>
      <c r="C16">
        <v>1.4064000000000001</v>
      </c>
    </row>
    <row r="17" spans="1:6" x14ac:dyDescent="0.25">
      <c r="A17" t="s">
        <v>49</v>
      </c>
      <c r="B17" t="s">
        <v>50</v>
      </c>
      <c r="C17">
        <v>1.4036999999999999</v>
      </c>
      <c r="F17">
        <f>AVERAGE(C16:C17)</f>
        <v>1.4050500000000001</v>
      </c>
    </row>
    <row r="18" spans="1:6" x14ac:dyDescent="0.25">
      <c r="A18" t="s">
        <v>16</v>
      </c>
      <c r="B18" t="s">
        <v>17</v>
      </c>
      <c r="C18">
        <v>1.6967000000000001</v>
      </c>
    </row>
    <row r="19" spans="1:6" x14ac:dyDescent="0.25">
      <c r="A19" t="s">
        <v>18</v>
      </c>
      <c r="B19" t="s">
        <v>19</v>
      </c>
      <c r="C19">
        <v>1.726</v>
      </c>
      <c r="F19">
        <f>AVERAGE(C18:C19)</f>
        <v>1.7113499999999999</v>
      </c>
    </row>
    <row r="20" spans="1:6" x14ac:dyDescent="0.25">
      <c r="A20" t="s">
        <v>41</v>
      </c>
      <c r="B20" t="s">
        <v>42</v>
      </c>
      <c r="C20">
        <v>1.8106</v>
      </c>
    </row>
    <row r="21" spans="1:6" x14ac:dyDescent="0.25">
      <c r="A21" t="s">
        <v>53</v>
      </c>
      <c r="B21" t="s">
        <v>54</v>
      </c>
      <c r="C21">
        <v>1.8075000000000001</v>
      </c>
      <c r="F21">
        <f>AVERAGE(C20:C21)</f>
        <v>1.80905</v>
      </c>
    </row>
    <row r="22" spans="1:6" x14ac:dyDescent="0.25">
      <c r="A22" t="s">
        <v>20</v>
      </c>
      <c r="B22" t="s">
        <v>21</v>
      </c>
      <c r="C22">
        <v>1.9363999999999999</v>
      </c>
    </row>
    <row r="23" spans="1:6" x14ac:dyDescent="0.25">
      <c r="A23" t="s">
        <v>22</v>
      </c>
      <c r="B23" t="s">
        <v>23</v>
      </c>
      <c r="C23">
        <v>1.9334</v>
      </c>
      <c r="F23">
        <f>AVERAGE(C22:C23)</f>
        <v>1.9348999999999998</v>
      </c>
    </row>
    <row r="24" spans="1:6" x14ac:dyDescent="0.25">
      <c r="A24" t="s">
        <v>24</v>
      </c>
      <c r="B24" t="s">
        <v>25</v>
      </c>
      <c r="C24">
        <v>1.9449000000000001</v>
      </c>
    </row>
    <row r="25" spans="1:6" x14ac:dyDescent="0.25">
      <c r="A25" t="s">
        <v>26</v>
      </c>
      <c r="B25" t="s">
        <v>87</v>
      </c>
      <c r="F25">
        <f>AVERAGE(C24:C25)</f>
        <v>1.9449000000000001</v>
      </c>
    </row>
    <row r="26" spans="1:6" x14ac:dyDescent="0.25">
      <c r="A26" t="s">
        <v>27</v>
      </c>
      <c r="B26" t="s">
        <v>28</v>
      </c>
      <c r="C26">
        <v>1.9441999999999999</v>
      </c>
    </row>
    <row r="27" spans="1:6" x14ac:dyDescent="0.25">
      <c r="A27" t="s">
        <v>29</v>
      </c>
      <c r="B27" t="s">
        <v>30</v>
      </c>
      <c r="C27">
        <v>1.9466000000000001</v>
      </c>
      <c r="F27">
        <f>AVERAGE(C26:C27)</f>
        <v>1.9454</v>
      </c>
    </row>
    <row r="28" spans="1:6" x14ac:dyDescent="0.25">
      <c r="A28" t="s">
        <v>43</v>
      </c>
      <c r="B28" t="s">
        <v>44</v>
      </c>
      <c r="C28">
        <v>1.9168000000000001</v>
      </c>
    </row>
    <row r="29" spans="1:6" x14ac:dyDescent="0.25">
      <c r="A29" t="s">
        <v>51</v>
      </c>
      <c r="B29" t="s">
        <v>52</v>
      </c>
      <c r="C29">
        <v>1.9162999999999999</v>
      </c>
      <c r="F29">
        <f>AVERAGE(C28:C29)</f>
        <v>1.91655</v>
      </c>
    </row>
    <row r="31" spans="1:6" x14ac:dyDescent="0.25">
      <c r="A31" t="s">
        <v>94</v>
      </c>
      <c r="B31" t="s">
        <v>95</v>
      </c>
      <c r="C31">
        <v>1.4966999999999999</v>
      </c>
    </row>
    <row r="32" spans="1:6" x14ac:dyDescent="0.25">
      <c r="A32" t="s">
        <v>96</v>
      </c>
      <c r="B32" t="s">
        <v>97</v>
      </c>
      <c r="C32">
        <v>1.4948999999999999</v>
      </c>
      <c r="F32">
        <f>AVERAGE(C31:C32)</f>
        <v>1.4958</v>
      </c>
    </row>
    <row r="33" spans="1:6" x14ac:dyDescent="0.25">
      <c r="A33" t="s">
        <v>98</v>
      </c>
      <c r="B33" t="s">
        <v>99</v>
      </c>
      <c r="C33">
        <v>1.5103</v>
      </c>
    </row>
    <row r="34" spans="1:6" x14ac:dyDescent="0.25">
      <c r="A34" t="s">
        <v>100</v>
      </c>
      <c r="B34" t="s">
        <v>101</v>
      </c>
      <c r="C34">
        <v>1.5085</v>
      </c>
      <c r="F34">
        <f>AVERAGE(C33:C34)</f>
        <v>1.5093999999999999</v>
      </c>
    </row>
    <row r="35" spans="1:6" x14ac:dyDescent="0.25">
      <c r="A35" t="s">
        <v>102</v>
      </c>
      <c r="B35" t="s">
        <v>103</v>
      </c>
      <c r="C35">
        <v>1.5672999999999999</v>
      </c>
    </row>
    <row r="36" spans="1:6" x14ac:dyDescent="0.25">
      <c r="A36" t="s">
        <v>104</v>
      </c>
      <c r="B36" t="s">
        <v>105</v>
      </c>
      <c r="C36">
        <v>1.5598000000000001</v>
      </c>
      <c r="F36">
        <f>AVERAGE(C35:C36)</f>
        <v>1.56355</v>
      </c>
    </row>
    <row r="37" spans="1:6" x14ac:dyDescent="0.25">
      <c r="A37" t="s">
        <v>106</v>
      </c>
      <c r="B37" t="s">
        <v>107</v>
      </c>
      <c r="C37">
        <v>1.6618999999999999</v>
      </c>
    </row>
    <row r="38" spans="1:6" x14ac:dyDescent="0.25">
      <c r="A38" t="s">
        <v>108</v>
      </c>
      <c r="B38" t="s">
        <v>109</v>
      </c>
      <c r="C38">
        <v>1.6634</v>
      </c>
      <c r="F38">
        <f>AVERAGE(C37:C38)</f>
        <v>1.66265</v>
      </c>
    </row>
    <row r="39" spans="1:6" x14ac:dyDescent="0.25">
      <c r="A39" t="s">
        <v>110</v>
      </c>
      <c r="B39" t="s">
        <v>111</v>
      </c>
      <c r="C39">
        <v>1.8306</v>
      </c>
    </row>
    <row r="40" spans="1:6" x14ac:dyDescent="0.25">
      <c r="A40" t="s">
        <v>112</v>
      </c>
      <c r="B40" t="s">
        <v>113</v>
      </c>
      <c r="C40">
        <v>1.8294999999999999</v>
      </c>
      <c r="F40">
        <f>AVERAGE(C39:C40)</f>
        <v>1.83005</v>
      </c>
    </row>
    <row r="41" spans="1:6" x14ac:dyDescent="0.25">
      <c r="A41" t="s">
        <v>114</v>
      </c>
      <c r="B41" t="s">
        <v>115</v>
      </c>
      <c r="C41">
        <v>2.0247999999999999</v>
      </c>
    </row>
    <row r="42" spans="1:6" x14ac:dyDescent="0.25">
      <c r="A42" t="s">
        <v>116</v>
      </c>
      <c r="B42" t="s">
        <v>117</v>
      </c>
      <c r="C42">
        <v>2.0282</v>
      </c>
      <c r="F42">
        <f>AVERAGE(C41:C42)</f>
        <v>2.0265</v>
      </c>
    </row>
    <row r="43" spans="1:6" x14ac:dyDescent="0.25">
      <c r="A43" t="s">
        <v>118</v>
      </c>
      <c r="B43" t="s">
        <v>119</v>
      </c>
      <c r="C43">
        <v>2.1835</v>
      </c>
    </row>
    <row r="44" spans="1:6" x14ac:dyDescent="0.25">
      <c r="A44" t="s">
        <v>120</v>
      </c>
      <c r="B44" t="s">
        <v>121</v>
      </c>
      <c r="C44">
        <v>2.1806000000000001</v>
      </c>
      <c r="F44">
        <f>AVERAGE(C43:C44)</f>
        <v>2.1820500000000003</v>
      </c>
    </row>
    <row r="45" spans="1:6" x14ac:dyDescent="0.25">
      <c r="A45" t="s">
        <v>122</v>
      </c>
      <c r="B45" t="s">
        <v>123</v>
      </c>
      <c r="C45">
        <v>2.2690000000000001</v>
      </c>
    </row>
    <row r="46" spans="1:6" x14ac:dyDescent="0.25">
      <c r="A46" t="s">
        <v>124</v>
      </c>
      <c r="B46" t="s">
        <v>125</v>
      </c>
      <c r="C46">
        <v>2.2700999999999998</v>
      </c>
      <c r="F46">
        <f>AVERAGE(C45:C46)</f>
        <v>2.2695499999999997</v>
      </c>
    </row>
    <row r="47" spans="1:6" x14ac:dyDescent="0.25">
      <c r="A47" t="s">
        <v>126</v>
      </c>
      <c r="B47" t="s">
        <v>127</v>
      </c>
      <c r="C47">
        <v>2.2898000000000001</v>
      </c>
    </row>
    <row r="48" spans="1:6" x14ac:dyDescent="0.25">
      <c r="A48" t="s">
        <v>128</v>
      </c>
      <c r="B48" t="s">
        <v>129</v>
      </c>
      <c r="C48">
        <v>2.2862</v>
      </c>
      <c r="F48">
        <f>AVERAGE(C47:C48)</f>
        <v>2.2880000000000003</v>
      </c>
    </row>
    <row r="49" spans="1:6" x14ac:dyDescent="0.25">
      <c r="A49" t="s">
        <v>132</v>
      </c>
      <c r="B49" t="s">
        <v>133</v>
      </c>
      <c r="C49">
        <v>2.1798000000000002</v>
      </c>
    </row>
    <row r="50" spans="1:6" x14ac:dyDescent="0.25">
      <c r="A50" t="s">
        <v>134</v>
      </c>
      <c r="B50" t="s">
        <v>135</v>
      </c>
      <c r="C50">
        <v>2.1423999999999999</v>
      </c>
      <c r="F50">
        <f>AVERAGE(C49:C50)</f>
        <v>2.1611000000000002</v>
      </c>
    </row>
    <row r="51" spans="1:6" x14ac:dyDescent="0.25">
      <c r="A51" t="s">
        <v>136</v>
      </c>
      <c r="B51" t="s">
        <v>137</v>
      </c>
      <c r="C51">
        <v>2.0962000000000001</v>
      </c>
    </row>
    <row r="52" spans="1:6" x14ac:dyDescent="0.25">
      <c r="A52" t="s">
        <v>138</v>
      </c>
      <c r="B52" t="s">
        <v>139</v>
      </c>
      <c r="C52">
        <v>2.0971000000000002</v>
      </c>
      <c r="F52">
        <f>AVERAGE(C51:C52)</f>
        <v>2.0966500000000003</v>
      </c>
    </row>
    <row r="53" spans="1:6" x14ac:dyDescent="0.25">
      <c r="A53" t="s">
        <v>140</v>
      </c>
      <c r="B53" t="s">
        <v>141</v>
      </c>
      <c r="C53">
        <v>2.0528</v>
      </c>
    </row>
    <row r="54" spans="1:6" x14ac:dyDescent="0.25">
      <c r="A54" t="s">
        <v>142</v>
      </c>
      <c r="B54" t="s">
        <v>143</v>
      </c>
      <c r="C54">
        <v>2.0554000000000001</v>
      </c>
      <c r="F54">
        <f>AVERAGE(C53:C54)</f>
        <v>2.0541</v>
      </c>
    </row>
    <row r="55" spans="1:6" x14ac:dyDescent="0.25">
      <c r="A55" t="s">
        <v>144</v>
      </c>
      <c r="B55" t="s">
        <v>145</v>
      </c>
      <c r="C55">
        <v>1.9278</v>
      </c>
    </row>
    <row r="56" spans="1:6" x14ac:dyDescent="0.25">
      <c r="A56" t="s">
        <v>146</v>
      </c>
      <c r="B56" t="s">
        <v>147</v>
      </c>
      <c r="C56">
        <v>1.9278</v>
      </c>
      <c r="F56">
        <f>AVERAGE(C55:C56)</f>
        <v>1.9278</v>
      </c>
    </row>
    <row r="58" spans="1:6" x14ac:dyDescent="0.25">
      <c r="A58" t="s">
        <v>45</v>
      </c>
      <c r="B58" t="s">
        <v>46</v>
      </c>
      <c r="C58">
        <v>2.5304000000000002</v>
      </c>
    </row>
    <row r="59" spans="1:6" x14ac:dyDescent="0.25">
      <c r="A59" t="s">
        <v>79</v>
      </c>
      <c r="B59" t="s">
        <v>80</v>
      </c>
      <c r="C59">
        <v>2.4384000000000001</v>
      </c>
    </row>
    <row r="60" spans="1:6" x14ac:dyDescent="0.25">
      <c r="A60" t="s">
        <v>81</v>
      </c>
      <c r="B60" t="s">
        <v>82</v>
      </c>
      <c r="C60">
        <v>2.3975</v>
      </c>
    </row>
    <row r="61" spans="1:6" x14ac:dyDescent="0.25">
      <c r="A61" t="s">
        <v>83</v>
      </c>
      <c r="B61" t="s">
        <v>84</v>
      </c>
    </row>
    <row r="62" spans="1:6" x14ac:dyDescent="0.25">
      <c r="A62" t="s">
        <v>85</v>
      </c>
      <c r="B62" t="s">
        <v>86</v>
      </c>
      <c r="C62">
        <v>2.5497000000000001</v>
      </c>
    </row>
    <row r="63" spans="1:6" x14ac:dyDescent="0.25">
      <c r="A63" t="s">
        <v>32</v>
      </c>
      <c r="B63" t="s">
        <v>31</v>
      </c>
      <c r="C63" t="s">
        <v>87</v>
      </c>
    </row>
    <row r="64" spans="1:6" x14ac:dyDescent="0.25">
      <c r="A64" t="s">
        <v>73</v>
      </c>
      <c r="B64" t="s">
        <v>74</v>
      </c>
      <c r="C64">
        <v>3.2414000000000001</v>
      </c>
    </row>
    <row r="65" spans="1:3" x14ac:dyDescent="0.25">
      <c r="A65" t="s">
        <v>75</v>
      </c>
      <c r="B65" t="s">
        <v>76</v>
      </c>
      <c r="C65">
        <v>3.2471999999999999</v>
      </c>
    </row>
    <row r="66" spans="1:3" x14ac:dyDescent="0.25">
      <c r="A66" t="s">
        <v>88</v>
      </c>
      <c r="B66" t="s">
        <v>89</v>
      </c>
      <c r="C66">
        <v>2.1109</v>
      </c>
    </row>
    <row r="67" spans="1:3" x14ac:dyDescent="0.25">
      <c r="A67" t="s">
        <v>90</v>
      </c>
      <c r="B67" t="s">
        <v>91</v>
      </c>
      <c r="C67">
        <v>1.9435</v>
      </c>
    </row>
    <row r="68" spans="1:3" x14ac:dyDescent="0.25">
      <c r="A68" t="s">
        <v>55</v>
      </c>
      <c r="B68" t="s">
        <v>56</v>
      </c>
      <c r="C68">
        <v>4.2568000000000001</v>
      </c>
    </row>
    <row r="69" spans="1:3" x14ac:dyDescent="0.25">
      <c r="A69" t="s">
        <v>57</v>
      </c>
      <c r="B69" t="s">
        <v>58</v>
      </c>
      <c r="C69">
        <v>4.2615999999999996</v>
      </c>
    </row>
    <row r="70" spans="1:3" x14ac:dyDescent="0.25">
      <c r="A70" t="s">
        <v>59</v>
      </c>
      <c r="B70" t="s">
        <v>60</v>
      </c>
      <c r="C70">
        <v>2.9546999999999999</v>
      </c>
    </row>
    <row r="71" spans="1:3" x14ac:dyDescent="0.25">
      <c r="A71" t="s">
        <v>61</v>
      </c>
      <c r="B71" t="s">
        <v>62</v>
      </c>
      <c r="C71">
        <v>2.9565000000000001</v>
      </c>
    </row>
    <row r="72" spans="1:3" x14ac:dyDescent="0.25">
      <c r="A72" t="s">
        <v>63</v>
      </c>
      <c r="B72" t="s">
        <v>64</v>
      </c>
      <c r="C72">
        <v>1.6698999999999999</v>
      </c>
    </row>
    <row r="73" spans="1:3" x14ac:dyDescent="0.25">
      <c r="A73" t="s">
        <v>65</v>
      </c>
      <c r="B73" t="s">
        <v>66</v>
      </c>
      <c r="C73">
        <v>1.6664000000000001</v>
      </c>
    </row>
    <row r="74" spans="1:3" x14ac:dyDescent="0.25">
      <c r="A74" t="s">
        <v>67</v>
      </c>
      <c r="B74" t="s">
        <v>68</v>
      </c>
      <c r="C74">
        <v>2.4342000000000001</v>
      </c>
    </row>
    <row r="75" spans="1:3" x14ac:dyDescent="0.25">
      <c r="A75" t="s">
        <v>69</v>
      </c>
      <c r="B75" t="s">
        <v>70</v>
      </c>
      <c r="C75">
        <v>2.427</v>
      </c>
    </row>
    <row r="76" spans="1:3" x14ac:dyDescent="0.25">
      <c r="A76" t="s">
        <v>71</v>
      </c>
      <c r="B76" t="s">
        <v>72</v>
      </c>
      <c r="C76">
        <v>5.7750000000000004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dcterms:created xsi:type="dcterms:W3CDTF">2025-08-28T15:00:10Z</dcterms:created>
  <dcterms:modified xsi:type="dcterms:W3CDTF">2025-08-28T15:16:36Z</dcterms:modified>
</cp:coreProperties>
</file>