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RAD7\July 2023 Tidal Survey\Survey Data\"/>
    </mc:Choice>
  </mc:AlternateContent>
  <xr:revisionPtr revIDLastSave="0" documentId="8_{9493791B-CE1A-420F-B179-86683E6AA776}" xr6:coauthVersionLast="47" xr6:coauthVersionMax="47" xr10:uidLastSave="{00000000-0000-0000-0000-000000000000}"/>
  <bookViews>
    <workbookView xWindow="-120" yWindow="-120" windowWidth="29040" windowHeight="15840" activeTab="2" xr2:uid="{35F39FEE-709C-4D1D-A2C6-D0724446CD3B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87" i="1"/>
  <c r="B86" i="1"/>
  <c r="B85" i="1"/>
  <c r="B84" i="1"/>
  <c r="B83" i="1"/>
  <c r="B82" i="1"/>
  <c r="B81" i="1"/>
  <c r="B77" i="1"/>
  <c r="B76" i="1"/>
  <c r="B75" i="1"/>
  <c r="B74" i="1"/>
  <c r="B73" i="1"/>
  <c r="B72" i="1"/>
  <c r="B71" i="1"/>
  <c r="B70" i="1"/>
  <c r="B65" i="1"/>
  <c r="B64" i="1"/>
  <c r="B63" i="1"/>
  <c r="B62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8" i="1"/>
  <c r="B37" i="1"/>
  <c r="B36" i="1"/>
  <c r="B32" i="1"/>
  <c r="B31" i="1"/>
  <c r="B30" i="1"/>
  <c r="B29" i="1"/>
  <c r="B28" i="1"/>
  <c r="B27" i="1"/>
  <c r="B26" i="1"/>
  <c r="B25" i="1"/>
  <c r="B21" i="1"/>
  <c r="B20" i="1"/>
  <c r="B19" i="1"/>
  <c r="B18" i="1"/>
  <c r="B17" i="1"/>
  <c r="B16" i="1"/>
  <c r="B15" i="1"/>
  <c r="B14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<sst xmlns="http://schemas.openxmlformats.org/spreadsheetml/2006/main" count="285" uniqueCount="76">
  <si>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</si>
  <si>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</si>
  <si>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</si>
  <si>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</si>
  <si>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</si>
  <si>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</si>
  <si>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</si>
  <si>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</si>
  <si>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</si>
  <si>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</si>
  <si>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</si>
  <si>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</si>
  <si>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Plate 8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</si>
  <si>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</si>
  <si>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</si>
  <si>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</si>
  <si>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</si>
  <si>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</si>
  <si>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</si>
  <si>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</si>
  <si>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</si>
  <si>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</si>
  <si>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</si>
  <si>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20230808_0530</t>
  </si>
  <si>
    <t>20230808_1330</t>
  </si>
  <si>
    <t>20230807_GW2</t>
  </si>
  <si>
    <t>Std 1</t>
  </si>
  <si>
    <t>20230808_0630</t>
  </si>
  <si>
    <t>20230808_1430</t>
  </si>
  <si>
    <t>20230807_GW3</t>
  </si>
  <si>
    <t>Std 2</t>
  </si>
  <si>
    <t>20230808_0730</t>
  </si>
  <si>
    <t>20230808_1530</t>
  </si>
  <si>
    <t>20230807_GW4</t>
  </si>
  <si>
    <t>Std 3</t>
  </si>
  <si>
    <t>20230808_0830</t>
  </si>
  <si>
    <t>20230808_1630</t>
  </si>
  <si>
    <t>20230807_GW5</t>
  </si>
  <si>
    <t>Std 4</t>
  </si>
  <si>
    <t>20230808_0930</t>
  </si>
  <si>
    <t>20230808_1730</t>
  </si>
  <si>
    <t>20230807_GW6</t>
  </si>
  <si>
    <t>Std 5</t>
  </si>
  <si>
    <t>20230808_1030</t>
  </si>
  <si>
    <t>20230808_1730_dup</t>
  </si>
  <si>
    <t>MC: 10ppt</t>
  </si>
  <si>
    <t>20230808_1130</t>
  </si>
  <si>
    <t>20230807_GW1</t>
  </si>
  <si>
    <t>MC: 20ppt</t>
  </si>
  <si>
    <t>20230808_1230</t>
  </si>
  <si>
    <t>20230807_GW1_spk</t>
  </si>
  <si>
    <t>GWI_TR_LysB_20cm</t>
  </si>
  <si>
    <t>Dilutions</t>
  </si>
  <si>
    <t>20230816_0530</t>
  </si>
  <si>
    <t>20230816_1330</t>
  </si>
  <si>
    <t>20230815_GW2</t>
  </si>
  <si>
    <t>20230816_0630</t>
  </si>
  <si>
    <t>20230816_1430</t>
  </si>
  <si>
    <t>20230815_GW3</t>
  </si>
  <si>
    <t>20230816_0730</t>
  </si>
  <si>
    <t>20230816_1530</t>
  </si>
  <si>
    <t>20230815_GW4</t>
  </si>
  <si>
    <t>20230816_0830</t>
  </si>
  <si>
    <t>20230816_1630</t>
  </si>
  <si>
    <t>20230815_GW5</t>
  </si>
  <si>
    <t>20230816_0930</t>
  </si>
  <si>
    <t>20230816_1730</t>
  </si>
  <si>
    <t>20230815_GW6</t>
  </si>
  <si>
    <t>20230816_1030</t>
  </si>
  <si>
    <t>20230816_1730_dup</t>
  </si>
  <si>
    <t>20230816_GW_T1_NW5</t>
  </si>
  <si>
    <t>20230816_1130</t>
  </si>
  <si>
    <t>20230815_GW1</t>
  </si>
  <si>
    <t>20230816_GW_T2_NW1</t>
  </si>
  <si>
    <t>20230816_1230</t>
  </si>
  <si>
    <t>20230815_GW1_spk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</si>
</sst>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17629046369204"/>
                  <c:y val="0.29171405657626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[1]STDs!$A$3:$A$8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[1]STDs!$B$3:$B$8</c:f>
              <c:numCache>
                <c:formatCode>General</c:formatCode>
                <c:ptCount val="6"/>
                <c:pt idx="0">
                  <c:v>5.0666666666666665E-2</c:v>
                </c:pt>
                <c:pt idx="1">
                  <c:v>0.13566666666666669</c:v>
                </c:pt>
                <c:pt idx="2">
                  <c:v>0.23949999999999999</c:v>
                </c:pt>
                <c:pt idx="3">
                  <c:v>0.42399999999999999</c:v>
                </c:pt>
                <c:pt idx="4">
                  <c:v>0.76</c:v>
                </c:pt>
                <c:pt idx="5">
                  <c:v>1.232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C2-4BBB-97B4-06EF13602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14800"/>
        <c:axId val="534320200"/>
      </c:scatterChart>
      <c:valAx>
        <c:axId val="53431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20200"/>
        <c:crosses val="autoZero"/>
        <c:crossBetween val="midCat"/>
      </c:valAx>
      <c:valAx>
        <c:axId val="5343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1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86126984963"/>
                  <c:y val="0.19558282208588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[1]STDs!$B$14:$B$21</c:f>
              <c:numCache>
                <c:formatCode>General</c:formatCode>
                <c:ptCount val="8"/>
                <c:pt idx="0">
                  <c:v>4.933333333333334E-2</c:v>
                </c:pt>
                <c:pt idx="1">
                  <c:v>0.14599999999999999</c:v>
                </c:pt>
                <c:pt idx="2">
                  <c:v>0.254</c:v>
                </c:pt>
                <c:pt idx="3">
                  <c:v>0.47633333333333333</c:v>
                </c:pt>
                <c:pt idx="4">
                  <c:v>0.85399999999999998</c:v>
                </c:pt>
                <c:pt idx="5">
                  <c:v>1.2565</c:v>
                </c:pt>
                <c:pt idx="6">
                  <c:v>1.2733333333333334</c:v>
                </c:pt>
                <c:pt idx="7">
                  <c:v>1.2390000000000001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4E-4010-94F9-05E5277C8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01504"/>
        <c:axId val="191502584"/>
      </c:scatterChart>
      <c:valAx>
        <c:axId val="19150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2584"/>
        <c:crosses val="autoZero"/>
        <c:crossBetween val="midCat"/>
      </c:valAx>
      <c:valAx>
        <c:axId val="19150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[1]STDs!$B$25:$B$32</c:f>
              <c:numCache>
                <c:formatCode>General</c:formatCode>
                <c:ptCount val="8"/>
                <c:pt idx="0">
                  <c:v>5.2666666666666667E-2</c:v>
                </c:pt>
                <c:pt idx="1">
                  <c:v>0.14433333333333334</c:v>
                </c:pt>
                <c:pt idx="2">
                  <c:v>0.3175</c:v>
                </c:pt>
                <c:pt idx="3">
                  <c:v>0.4415</c:v>
                </c:pt>
                <c:pt idx="4">
                  <c:v>0.82099999999999995</c:v>
                </c:pt>
                <c:pt idx="5">
                  <c:v>1.3305</c:v>
                </c:pt>
                <c:pt idx="6">
                  <c:v>1.3096666666666665</c:v>
                </c:pt>
                <c:pt idx="7">
                  <c:v>1.3163333333333334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9-426B-964E-172DFC502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6768"/>
        <c:axId val="565987128"/>
      </c:scatterChart>
      <c:valAx>
        <c:axId val="56598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7128"/>
        <c:crosses val="autoZero"/>
        <c:crossBetween val="midCat"/>
      </c:valAx>
      <c:valAx>
        <c:axId val="56598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53016752101103E-2"/>
                  <c:y val="0.292187675395692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[1]STDs!$B$36:$B$43</c:f>
              <c:numCache>
                <c:formatCode>General</c:formatCode>
                <c:ptCount val="8"/>
                <c:pt idx="0">
                  <c:v>5.1666666666666666E-2</c:v>
                </c:pt>
                <c:pt idx="1">
                  <c:v>0.128</c:v>
                </c:pt>
                <c:pt idx="2">
                  <c:v>0.33766666666666662</c:v>
                </c:pt>
                <c:pt idx="3">
                  <c:v>0.52849999999999997</c:v>
                </c:pt>
                <c:pt idx="4">
                  <c:v>0.80149999999999999</c:v>
                </c:pt>
                <c:pt idx="5">
                  <c:v>1.3576666666666668</c:v>
                </c:pt>
                <c:pt idx="6">
                  <c:v>1.3259999999999998</c:v>
                </c:pt>
                <c:pt idx="7">
                  <c:v>1.3109999999999999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35-4E10-8BCB-D13C562A7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45800"/>
        <c:axId val="453049040"/>
      </c:scatterChart>
      <c:valAx>
        <c:axId val="45304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49040"/>
        <c:crosses val="autoZero"/>
        <c:crossBetween val="midCat"/>
      </c:valAx>
      <c:valAx>
        <c:axId val="4530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4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4584426946631E-2"/>
                  <c:y val="0.290275590551181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[1]STDs!$B$47:$B$54</c:f>
              <c:numCache>
                <c:formatCode>General</c:formatCode>
                <c:ptCount val="8"/>
                <c:pt idx="0">
                  <c:v>4.9666666666666665E-2</c:v>
                </c:pt>
                <c:pt idx="1">
                  <c:v>0.13666666666666669</c:v>
                </c:pt>
                <c:pt idx="2">
                  <c:v>0.26533333333333331</c:v>
                </c:pt>
                <c:pt idx="3">
                  <c:v>0.46599999999999997</c:v>
                </c:pt>
                <c:pt idx="4">
                  <c:v>0.85599999999999998</c:v>
                </c:pt>
                <c:pt idx="5">
                  <c:v>1.3816666666666666</c:v>
                </c:pt>
                <c:pt idx="6">
                  <c:v>1.3360000000000001</c:v>
                </c:pt>
                <c:pt idx="7">
                  <c:v>1.4139999999999999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C4-4551-A828-D57418D65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21280"/>
        <c:axId val="439744792"/>
      </c:scatterChart>
      <c:valAx>
        <c:axId val="53432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44792"/>
        <c:crosses val="autoZero"/>
        <c:crossBetween val="midCat"/>
      </c:valAx>
      <c:valAx>
        <c:axId val="43974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2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[1]STDs!$A$58:$A$63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[1]STDs!$B$58:$B$63</c:f>
              <c:numCache>
                <c:formatCode>General</c:formatCode>
                <c:ptCount val="6"/>
                <c:pt idx="0">
                  <c:v>5.1333333333333335E-2</c:v>
                </c:pt>
                <c:pt idx="1">
                  <c:v>0.13766666666666669</c:v>
                </c:pt>
                <c:pt idx="2">
                  <c:v>0.28466666666666668</c:v>
                </c:pt>
                <c:pt idx="3">
                  <c:v>0.47599999999999998</c:v>
                </c:pt>
                <c:pt idx="4">
                  <c:v>0.86099999999999999</c:v>
                </c:pt>
                <c:pt idx="5">
                  <c:v>1.4079999999999999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2-4027-8D69-817DC7EE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5328"/>
        <c:axId val="565982448"/>
      </c:scatterChart>
      <c:valAx>
        <c:axId val="5659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2448"/>
        <c:crosses val="autoZero"/>
        <c:crossBetween val="midCat"/>
      </c:valAx>
      <c:valAx>
        <c:axId val="5659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079177602799652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[1]STDs!$A$70:$A$75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[1]STDs!$B$70:$B$75</c:f>
              <c:numCache>
                <c:formatCode>General</c:formatCode>
                <c:ptCount val="6"/>
                <c:pt idx="0">
                  <c:v>5.1333333333333335E-2</c:v>
                </c:pt>
                <c:pt idx="1">
                  <c:v>0.127</c:v>
                </c:pt>
                <c:pt idx="2">
                  <c:v>0.30933333333333335</c:v>
                </c:pt>
                <c:pt idx="3">
                  <c:v>0.50150000000000006</c:v>
                </c:pt>
                <c:pt idx="4">
                  <c:v>0.86499999999999999</c:v>
                </c:pt>
                <c:pt idx="5">
                  <c:v>1.405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F-4245-ACEB-49962C807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74352"/>
        <c:axId val="384876512"/>
      </c:scatterChart>
      <c:valAx>
        <c:axId val="38487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76512"/>
        <c:crosses val="autoZero"/>
        <c:crossBetween val="midCat"/>
      </c:valAx>
      <c:valAx>
        <c:axId val="3848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7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[1]STDs!$B$80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5236220472441"/>
                  <c:y val="0.278340259550889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[1]STDs!$A$81:$A$86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[1]STDs!$B$81:$B$86</c:f>
              <c:numCache>
                <c:formatCode>General</c:formatCode>
                <c:ptCount val="6"/>
                <c:pt idx="0">
                  <c:v>5.1000000000000011E-2</c:v>
                </c:pt>
                <c:pt idx="1">
                  <c:v>0.13933333333333334</c:v>
                </c:pt>
                <c:pt idx="2">
                  <c:v>0.29633333333333334</c:v>
                </c:pt>
                <c:pt idx="3">
                  <c:v>0.49299999999999999</c:v>
                </c:pt>
                <c:pt idx="4">
                  <c:v>0.85033333333333339</c:v>
                </c:pt>
                <c:pt idx="5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A0-41C9-B046-D2A64A757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86256"/>
        <c:axId val="524784816"/>
      </c:scatterChart>
      <c:valAx>
        <c:axId val="5247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84816"/>
        <c:crosses val="autoZero"/>
        <c:crossBetween val="midCat"/>
      </c:valAx>
      <c:valAx>
        <c:axId val="5247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8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185737</xdr:rowOff>
    </xdr:from>
    <xdr:to>
      <xdr:col>11</xdr:col>
      <xdr:colOff>381000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4781B-4753-4C64-A122-720601F69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12</xdr:row>
      <xdr:rowOff>66674</xdr:rowOff>
    </xdr:from>
    <xdr:to>
      <xdr:col>11</xdr:col>
      <xdr:colOff>123825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AABC0-0AE5-4606-A64F-58386BE0C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509587</xdr:colOff>
      <xdr:row>22</xdr:row>
      <xdr:rowOff>28575</xdr:rowOff>
    </xdr:from>
    <xdr:to>
      <xdr:col>11</xdr:col>
      <xdr:colOff>295275</xdr:colOff>
      <xdr:row>32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5FAAE9-4BFE-4F44-BC33-729014686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519112</xdr:colOff>
      <xdr:row>33</xdr:row>
      <xdr:rowOff>100012</xdr:rowOff>
    </xdr:from>
    <xdr:to>
      <xdr:col>11</xdr:col>
      <xdr:colOff>333375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059A2B-A19A-4720-B215-D865D9326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485774</xdr:colOff>
      <xdr:row>44</xdr:row>
      <xdr:rowOff>180974</xdr:rowOff>
    </xdr:from>
    <xdr:to>
      <xdr:col>11</xdr:col>
      <xdr:colOff>42861</xdr:colOff>
      <xdr:row>55</xdr:row>
      <xdr:rowOff>42861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1BD036-DB90-46B8-A60D-14A3D287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319087</xdr:colOff>
      <xdr:row>55</xdr:row>
      <xdr:rowOff>138112</xdr:rowOff>
    </xdr:from>
    <xdr:to>
      <xdr:col>11</xdr:col>
      <xdr:colOff>285750</xdr:colOff>
      <xdr:row>65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D31D35-FEBF-4D84-B08C-19749E74F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309562</xdr:colOff>
      <xdr:row>67</xdr:row>
      <xdr:rowOff>71437</xdr:rowOff>
    </xdr:from>
    <xdr:to>
      <xdr:col>11</xdr:col>
      <xdr:colOff>47625</xdr:colOff>
      <xdr:row>77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63FD06-A16C-42DD-9259-C3C42753C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271462</xdr:colOff>
      <xdr:row>78</xdr:row>
      <xdr:rowOff>109537</xdr:rowOff>
    </xdr:from>
    <xdr:to>
      <xdr:col>11</xdr:col>
      <xdr:colOff>152400</xdr:colOff>
      <xdr:row>90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620D8C-78F7-4B4E-8AD4-B7108FF27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ogeochemistry/People/Wilson%20(Steph)/Data/MicroPlate%20Data/Sulfide/Data/2023/COMPASS_Synoptic_H2S_Aug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s"/>
      <sheetName val="Plate1"/>
      <sheetName val="Plate2"/>
      <sheetName val="Plate3"/>
      <sheetName val="Plate4"/>
      <sheetName val="Plate5"/>
      <sheetName val="Plate6"/>
      <sheetName val="Plate7"/>
      <sheetName val="Plate8"/>
      <sheetName val="Sheet4"/>
    </sheetNames>
    <sheetDataSet>
      <sheetData sheetId="0">
        <row r="2">
          <cell r="B2" t="str">
            <v>Avg Abs</v>
          </cell>
        </row>
        <row r="3">
          <cell r="A3">
            <v>0</v>
          </cell>
          <cell r="B3">
            <v>5.0666666666666665E-2</v>
          </cell>
        </row>
        <row r="4">
          <cell r="A4">
            <v>5</v>
          </cell>
          <cell r="B4">
            <v>0.13566666666666669</v>
          </cell>
        </row>
        <row r="5">
          <cell r="A5">
            <v>12.5</v>
          </cell>
          <cell r="B5">
            <v>0.23949999999999999</v>
          </cell>
        </row>
        <row r="6">
          <cell r="A6">
            <v>25</v>
          </cell>
          <cell r="B6">
            <v>0.42399999999999999</v>
          </cell>
        </row>
        <row r="7">
          <cell r="A7">
            <v>50</v>
          </cell>
          <cell r="B7">
            <v>0.76</v>
          </cell>
        </row>
        <row r="8">
          <cell r="A8">
            <v>100</v>
          </cell>
          <cell r="B8">
            <v>1.232</v>
          </cell>
        </row>
        <row r="13">
          <cell r="B13" t="str">
            <v>Avg Abs</v>
          </cell>
        </row>
        <row r="14">
          <cell r="A14">
            <v>0</v>
          </cell>
          <cell r="B14">
            <v>4.933333333333334E-2</v>
          </cell>
        </row>
        <row r="15">
          <cell r="A15">
            <v>5</v>
          </cell>
          <cell r="B15">
            <v>0.14599999999999999</v>
          </cell>
        </row>
        <row r="16">
          <cell r="A16">
            <v>12.5</v>
          </cell>
          <cell r="B16">
            <v>0.254</v>
          </cell>
        </row>
        <row r="17">
          <cell r="A17">
            <v>25</v>
          </cell>
          <cell r="B17">
            <v>0.47633333333333333</v>
          </cell>
        </row>
        <row r="18">
          <cell r="A18">
            <v>50</v>
          </cell>
          <cell r="B18">
            <v>0.85399999999999998</v>
          </cell>
        </row>
        <row r="19">
          <cell r="A19">
            <v>100</v>
          </cell>
          <cell r="B19">
            <v>1.2565</v>
          </cell>
        </row>
        <row r="20">
          <cell r="A20">
            <v>100</v>
          </cell>
          <cell r="B20">
            <v>1.2733333333333334</v>
          </cell>
        </row>
        <row r="21">
          <cell r="A21">
            <v>100</v>
          </cell>
          <cell r="B21">
            <v>1.2390000000000001</v>
          </cell>
        </row>
        <row r="24">
          <cell r="B24" t="str">
            <v>Avg Abs</v>
          </cell>
        </row>
        <row r="25">
          <cell r="A25">
            <v>0</v>
          </cell>
          <cell r="B25">
            <v>5.2666666666666667E-2</v>
          </cell>
        </row>
        <row r="26">
          <cell r="A26">
            <v>5</v>
          </cell>
          <cell r="B26">
            <v>0.14433333333333334</v>
          </cell>
        </row>
        <row r="27">
          <cell r="A27">
            <v>12.5</v>
          </cell>
          <cell r="B27">
            <v>0.3175</v>
          </cell>
        </row>
        <row r="28">
          <cell r="A28">
            <v>25</v>
          </cell>
          <cell r="B28">
            <v>0.4415</v>
          </cell>
        </row>
        <row r="29">
          <cell r="A29">
            <v>50</v>
          </cell>
          <cell r="B29">
            <v>0.82099999999999995</v>
          </cell>
        </row>
        <row r="30">
          <cell r="A30">
            <v>100</v>
          </cell>
          <cell r="B30">
            <v>1.3305</v>
          </cell>
        </row>
        <row r="31">
          <cell r="A31">
            <v>100</v>
          </cell>
          <cell r="B31">
            <v>1.3096666666666665</v>
          </cell>
        </row>
        <row r="32">
          <cell r="A32">
            <v>100</v>
          </cell>
          <cell r="B32">
            <v>1.3163333333333334</v>
          </cell>
        </row>
        <row r="35">
          <cell r="B35" t="str">
            <v>Avg Abs</v>
          </cell>
        </row>
        <row r="36">
          <cell r="A36">
            <v>0</v>
          </cell>
          <cell r="B36">
            <v>5.1666666666666666E-2</v>
          </cell>
        </row>
        <row r="37">
          <cell r="A37">
            <v>5</v>
          </cell>
          <cell r="B37">
            <v>0.128</v>
          </cell>
        </row>
        <row r="38">
          <cell r="A38">
            <v>12.5</v>
          </cell>
          <cell r="B38">
            <v>0.33766666666666662</v>
          </cell>
        </row>
        <row r="39">
          <cell r="A39">
            <v>25</v>
          </cell>
          <cell r="B39">
            <v>0.52849999999999997</v>
          </cell>
        </row>
        <row r="40">
          <cell r="A40">
            <v>50</v>
          </cell>
          <cell r="B40">
            <v>0.80149999999999999</v>
          </cell>
        </row>
        <row r="41">
          <cell r="A41">
            <v>100</v>
          </cell>
          <cell r="B41">
            <v>1.3576666666666668</v>
          </cell>
        </row>
        <row r="42">
          <cell r="A42">
            <v>100</v>
          </cell>
          <cell r="B42">
            <v>1.3259999999999998</v>
          </cell>
        </row>
        <row r="43">
          <cell r="A43">
            <v>100</v>
          </cell>
          <cell r="B43">
            <v>1.3109999999999999</v>
          </cell>
        </row>
        <row r="46">
          <cell r="B46" t="str">
            <v>Avg Abs</v>
          </cell>
        </row>
        <row r="47">
          <cell r="A47">
            <v>0</v>
          </cell>
          <cell r="B47">
            <v>4.9666666666666665E-2</v>
          </cell>
        </row>
        <row r="48">
          <cell r="A48">
            <v>5</v>
          </cell>
          <cell r="B48">
            <v>0.13666666666666669</v>
          </cell>
        </row>
        <row r="49">
          <cell r="A49">
            <v>12.5</v>
          </cell>
          <cell r="B49">
            <v>0.26533333333333331</v>
          </cell>
        </row>
        <row r="50">
          <cell r="A50">
            <v>25</v>
          </cell>
          <cell r="B50">
            <v>0.46599999999999997</v>
          </cell>
        </row>
        <row r="51">
          <cell r="A51">
            <v>50</v>
          </cell>
          <cell r="B51">
            <v>0.85599999999999998</v>
          </cell>
        </row>
        <row r="52">
          <cell r="A52">
            <v>100</v>
          </cell>
          <cell r="B52">
            <v>1.3816666666666666</v>
          </cell>
        </row>
        <row r="53">
          <cell r="A53">
            <v>100</v>
          </cell>
          <cell r="B53">
            <v>1.3360000000000001</v>
          </cell>
        </row>
        <row r="54">
          <cell r="A54">
            <v>100</v>
          </cell>
          <cell r="B54">
            <v>1.4139999999999999</v>
          </cell>
        </row>
        <row r="57">
          <cell r="B57" t="str">
            <v>Avg Abs</v>
          </cell>
        </row>
        <row r="58">
          <cell r="A58">
            <v>0</v>
          </cell>
          <cell r="B58">
            <v>5.1333333333333335E-2</v>
          </cell>
        </row>
        <row r="59">
          <cell r="A59">
            <v>5</v>
          </cell>
          <cell r="B59">
            <v>0.13766666666666669</v>
          </cell>
        </row>
        <row r="60">
          <cell r="A60">
            <v>12.5</v>
          </cell>
          <cell r="B60">
            <v>0.28466666666666668</v>
          </cell>
        </row>
        <row r="61">
          <cell r="A61">
            <v>25</v>
          </cell>
          <cell r="B61">
            <v>0.47599999999999998</v>
          </cell>
        </row>
        <row r="62">
          <cell r="A62">
            <v>50</v>
          </cell>
          <cell r="B62">
            <v>0.86099999999999999</v>
          </cell>
        </row>
        <row r="63">
          <cell r="A63">
            <v>100</v>
          </cell>
          <cell r="B63">
            <v>1.4079999999999999</v>
          </cell>
        </row>
        <row r="69">
          <cell r="B69" t="str">
            <v>Avg Abs</v>
          </cell>
        </row>
        <row r="70">
          <cell r="A70">
            <v>0</v>
          </cell>
          <cell r="B70">
            <v>5.1333333333333335E-2</v>
          </cell>
        </row>
        <row r="71">
          <cell r="A71">
            <v>5</v>
          </cell>
          <cell r="B71">
            <v>0.127</v>
          </cell>
        </row>
        <row r="72">
          <cell r="A72">
            <v>12.5</v>
          </cell>
          <cell r="B72">
            <v>0.30933333333333335</v>
          </cell>
        </row>
        <row r="73">
          <cell r="A73">
            <v>25</v>
          </cell>
          <cell r="B73">
            <v>0.50150000000000006</v>
          </cell>
        </row>
        <row r="74">
          <cell r="A74">
            <v>50</v>
          </cell>
          <cell r="B74">
            <v>0.86499999999999999</v>
          </cell>
        </row>
        <row r="75">
          <cell r="A75">
            <v>100</v>
          </cell>
          <cell r="B75">
            <v>1.405</v>
          </cell>
        </row>
        <row r="80">
          <cell r="B80" t="str">
            <v>Avg Abs</v>
          </cell>
        </row>
        <row r="81">
          <cell r="A81">
            <v>0</v>
          </cell>
          <cell r="B81">
            <v>5.1000000000000011E-2</v>
          </cell>
        </row>
        <row r="82">
          <cell r="A82">
            <v>5</v>
          </cell>
          <cell r="B82">
            <v>0.13933333333333334</v>
          </cell>
        </row>
        <row r="83">
          <cell r="A83">
            <v>12.5</v>
          </cell>
          <cell r="B83">
            <v>0.29633333333333334</v>
          </cell>
        </row>
        <row r="84">
          <cell r="A84">
            <v>25</v>
          </cell>
          <cell r="B84">
            <v>0.49299999999999999</v>
          </cell>
        </row>
        <row r="85">
          <cell r="A85">
            <v>50</v>
          </cell>
          <cell r="B85">
            <v>0.85033333333333339</v>
          </cell>
        </row>
        <row r="86">
          <cell r="A86">
            <v>100</v>
          </cell>
          <cell r="B86">
            <v>1.33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D284-D51C-4F66-866A-3D3341D4043D}">
  <dimension ref="A1:E88"/>
  <sheetViews>
    <sheetView workbookViewId="0">
      <selection sqref="A1:XFD1048576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5.0666666666666665E-2</v>
      </c>
      <c r="C3" s="2">
        <v>0.05</v>
      </c>
      <c r="D3" s="2">
        <v>0.05</v>
      </c>
      <c r="E3" s="2">
        <v>5.1999999999999998E-2</v>
      </c>
    </row>
    <row r="4" spans="1:5" x14ac:dyDescent="0.25">
      <c r="A4">
        <v>5</v>
      </c>
      <c r="B4">
        <f>AVERAGE(C4:E4)</f>
        <v>0.13566666666666669</v>
      </c>
      <c r="C4" s="2">
        <v>0.158</v>
      </c>
      <c r="D4" s="2">
        <v>0.11899999999999999</v>
      </c>
      <c r="E4" s="2">
        <v>0.13</v>
      </c>
    </row>
    <row r="5" spans="1:5" x14ac:dyDescent="0.25">
      <c r="A5">
        <v>12.5</v>
      </c>
      <c r="B5">
        <f>AVERAGE(C5:D5)</f>
        <v>0.23949999999999999</v>
      </c>
      <c r="C5" s="2">
        <v>0.24</v>
      </c>
      <c r="D5" s="2">
        <v>0.23899999999999999</v>
      </c>
      <c r="E5" s="2">
        <v>0.24399999999999999</v>
      </c>
    </row>
    <row r="6" spans="1:5" x14ac:dyDescent="0.25">
      <c r="A6">
        <v>25</v>
      </c>
      <c r="B6">
        <f>AVERAGE(C6:E6)</f>
        <v>0.42399999999999999</v>
      </c>
      <c r="C6" s="2">
        <v>0.42399999999999999</v>
      </c>
      <c r="D6" s="2">
        <v>0.436</v>
      </c>
      <c r="E6" s="2">
        <v>0.41199999999999998</v>
      </c>
    </row>
    <row r="7" spans="1:5" x14ac:dyDescent="0.25">
      <c r="A7">
        <v>50</v>
      </c>
      <c r="B7">
        <f>AVERAGE(C7,E7)</f>
        <v>0.76</v>
      </c>
      <c r="C7" s="2">
        <v>0.77700000000000002</v>
      </c>
      <c r="D7" s="2">
        <v>0.71299999999999997</v>
      </c>
      <c r="E7" s="2">
        <v>0.74299999999999999</v>
      </c>
    </row>
    <row r="8" spans="1:5" x14ac:dyDescent="0.25">
      <c r="A8">
        <v>100</v>
      </c>
      <c r="B8">
        <f>AVERAGE(C8:D8)</f>
        <v>1.232</v>
      </c>
      <c r="C8" s="2">
        <v>1.2689999999999999</v>
      </c>
      <c r="D8" s="2">
        <v>1.1950000000000001</v>
      </c>
      <c r="E8" s="2">
        <v>1.23</v>
      </c>
    </row>
    <row r="9" spans="1:5" x14ac:dyDescent="0.25">
      <c r="A9">
        <v>100</v>
      </c>
      <c r="B9">
        <f>AVERAGE(C9:E9)</f>
        <v>0.92866666666666664</v>
      </c>
      <c r="C9" s="2">
        <v>0.72399999999999998</v>
      </c>
      <c r="D9" s="2">
        <v>1.075</v>
      </c>
      <c r="E9" s="2">
        <v>0.98699999999999999</v>
      </c>
    </row>
    <row r="10" spans="1:5" x14ac:dyDescent="0.25">
      <c r="A10">
        <v>100</v>
      </c>
      <c r="B10">
        <f>AVERAGE(C10:E10)</f>
        <v>1.3003333333333333</v>
      </c>
      <c r="C10" s="2">
        <v>1.2949999999999999</v>
      </c>
      <c r="D10" s="2">
        <v>1.276</v>
      </c>
      <c r="E10" s="2">
        <v>1.33</v>
      </c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4.933333333333334E-2</v>
      </c>
      <c r="C14" s="2">
        <v>0.05</v>
      </c>
      <c r="D14" s="2">
        <v>4.9000000000000002E-2</v>
      </c>
      <c r="E14" s="2">
        <v>4.9000000000000002E-2</v>
      </c>
    </row>
    <row r="15" spans="1:5" x14ac:dyDescent="0.25">
      <c r="A15">
        <v>5</v>
      </c>
      <c r="B15">
        <f>AVERAGE(C15:E15)</f>
        <v>0.14599999999999999</v>
      </c>
      <c r="C15" s="2">
        <v>0.17699999999999999</v>
      </c>
      <c r="D15" s="2">
        <v>0.14299999999999999</v>
      </c>
      <c r="E15" s="2">
        <v>0.11799999999999999</v>
      </c>
    </row>
    <row r="16" spans="1:5" x14ac:dyDescent="0.25">
      <c r="A16">
        <v>12.5</v>
      </c>
      <c r="B16">
        <f>AVERAGE(C16:E16)</f>
        <v>0.254</v>
      </c>
      <c r="C16" s="2">
        <v>0.26200000000000001</v>
      </c>
      <c r="D16" s="2">
        <v>0.215</v>
      </c>
      <c r="E16" s="2">
        <v>0.28499999999999998</v>
      </c>
    </row>
    <row r="17" spans="1:5" x14ac:dyDescent="0.25">
      <c r="A17">
        <v>25</v>
      </c>
      <c r="B17">
        <f>AVERAGE(C17:E17)</f>
        <v>0.47633333333333333</v>
      </c>
      <c r="C17" s="2">
        <v>0.39300000000000002</v>
      </c>
      <c r="D17" s="2">
        <v>0.54300000000000004</v>
      </c>
      <c r="E17" s="2">
        <v>0.49299999999999999</v>
      </c>
    </row>
    <row r="18" spans="1:5" x14ac:dyDescent="0.25">
      <c r="A18">
        <v>50</v>
      </c>
      <c r="B18">
        <f>AVERAGE(C18,D18)</f>
        <v>0.85399999999999998</v>
      </c>
      <c r="C18" s="2">
        <v>0.83499999999999996</v>
      </c>
      <c r="D18" s="2">
        <v>0.873</v>
      </c>
      <c r="E18" s="2">
        <v>0.91700000000000004</v>
      </c>
    </row>
    <row r="19" spans="1:5" x14ac:dyDescent="0.25">
      <c r="A19">
        <v>100</v>
      </c>
      <c r="B19">
        <f>AVERAGE(D19:E19)</f>
        <v>1.2565</v>
      </c>
      <c r="C19" s="2">
        <v>1.236</v>
      </c>
      <c r="D19" s="2">
        <v>1.278</v>
      </c>
      <c r="E19" s="2">
        <v>1.2350000000000001</v>
      </c>
    </row>
    <row r="20" spans="1:5" x14ac:dyDescent="0.25">
      <c r="A20">
        <v>100</v>
      </c>
      <c r="B20">
        <f>AVERAGE(C20:E20)</f>
        <v>1.2733333333333334</v>
      </c>
      <c r="C20" s="2">
        <v>1.224</v>
      </c>
      <c r="D20" s="2">
        <v>1.306</v>
      </c>
      <c r="E20" s="2">
        <v>1.29</v>
      </c>
    </row>
    <row r="21" spans="1:5" x14ac:dyDescent="0.25">
      <c r="A21">
        <v>100</v>
      </c>
      <c r="B21">
        <f>AVERAGE(C21:E21)</f>
        <v>1.2390000000000001</v>
      </c>
      <c r="C21" s="2">
        <v>1.22</v>
      </c>
      <c r="D21" s="2">
        <v>1.3440000000000001</v>
      </c>
      <c r="E21" s="2">
        <v>1.153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5.2666666666666667E-2</v>
      </c>
      <c r="C25" s="2">
        <v>4.9000000000000002E-2</v>
      </c>
      <c r="D25" s="2">
        <v>5.6000000000000001E-2</v>
      </c>
      <c r="E25" s="2">
        <v>5.2999999999999999E-2</v>
      </c>
    </row>
    <row r="26" spans="1:5" x14ac:dyDescent="0.25">
      <c r="A26">
        <v>5</v>
      </c>
      <c r="B26">
        <f>AVERAGE(C26:E26)</f>
        <v>0.14433333333333334</v>
      </c>
      <c r="C26" s="2">
        <v>0.16800000000000001</v>
      </c>
      <c r="D26" s="2">
        <v>0.13100000000000001</v>
      </c>
      <c r="E26" s="2">
        <v>0.13400000000000001</v>
      </c>
    </row>
    <row r="27" spans="1:5" x14ac:dyDescent="0.25">
      <c r="A27">
        <v>12.5</v>
      </c>
      <c r="B27">
        <f>AVERAGE(C27:D27)</f>
        <v>0.3175</v>
      </c>
      <c r="C27" s="2">
        <v>0.311</v>
      </c>
      <c r="D27" s="2">
        <v>0.32400000000000001</v>
      </c>
      <c r="E27" s="2">
        <v>0.26700000000000002</v>
      </c>
    </row>
    <row r="28" spans="1:5" x14ac:dyDescent="0.25">
      <c r="A28">
        <v>25</v>
      </c>
      <c r="B28">
        <f>AVERAGE(C28,E28)</f>
        <v>0.4415</v>
      </c>
      <c r="C28" s="2">
        <v>0.42199999999999999</v>
      </c>
      <c r="D28" s="2">
        <v>0.48099999999999998</v>
      </c>
      <c r="E28" s="2">
        <v>0.46100000000000002</v>
      </c>
    </row>
    <row r="29" spans="1:5" x14ac:dyDescent="0.25">
      <c r="A29">
        <v>50</v>
      </c>
      <c r="B29">
        <f>AVERAGE(C29:D29)</f>
        <v>0.82099999999999995</v>
      </c>
      <c r="C29" s="2">
        <v>0.78400000000000003</v>
      </c>
      <c r="D29" s="2">
        <v>0.85799999999999998</v>
      </c>
      <c r="E29" s="2">
        <v>0.86299999999999999</v>
      </c>
    </row>
    <row r="30" spans="1:5" x14ac:dyDescent="0.25">
      <c r="A30">
        <v>100</v>
      </c>
      <c r="B30">
        <f>AVERAGE(C30:D30)</f>
        <v>1.3305</v>
      </c>
      <c r="C30" s="2">
        <v>1.264</v>
      </c>
      <c r="D30" s="2">
        <v>1.397</v>
      </c>
      <c r="E30" s="2">
        <v>1.4319999999999999</v>
      </c>
    </row>
    <row r="31" spans="1:5" x14ac:dyDescent="0.25">
      <c r="A31">
        <v>100</v>
      </c>
      <c r="B31">
        <f>AVERAGE(C31:E31)</f>
        <v>1.3096666666666665</v>
      </c>
      <c r="C31" s="2">
        <v>1.343</v>
      </c>
      <c r="D31" s="2">
        <v>1.319</v>
      </c>
      <c r="E31" s="2">
        <v>1.2669999999999999</v>
      </c>
    </row>
    <row r="32" spans="1:5" x14ac:dyDescent="0.25">
      <c r="A32">
        <v>100</v>
      </c>
      <c r="B32">
        <f>AVERAGE(C32:E32)</f>
        <v>1.3163333333333334</v>
      </c>
      <c r="C32" s="2">
        <v>1.3</v>
      </c>
      <c r="D32" s="2">
        <v>1.2649999999999999</v>
      </c>
      <c r="E32" s="2">
        <v>1.3839999999999999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5.1666666666666666E-2</v>
      </c>
      <c r="C36" s="2">
        <v>5.1999999999999998E-2</v>
      </c>
      <c r="D36" s="2">
        <v>5.2999999999999999E-2</v>
      </c>
      <c r="E36" s="2">
        <v>0.05</v>
      </c>
    </row>
    <row r="37" spans="1:5" x14ac:dyDescent="0.25">
      <c r="A37">
        <v>5</v>
      </c>
      <c r="B37">
        <f>AVERAGE(C37:E37)</f>
        <v>0.128</v>
      </c>
      <c r="C37" s="2">
        <v>0.11899999999999999</v>
      </c>
      <c r="D37" s="2">
        <v>0.14499999999999999</v>
      </c>
      <c r="E37" s="2">
        <v>0.12</v>
      </c>
    </row>
    <row r="38" spans="1:5" x14ac:dyDescent="0.25">
      <c r="A38">
        <v>12.5</v>
      </c>
      <c r="B38">
        <f>AVERAGE(C38:E38)</f>
        <v>0.33766666666666662</v>
      </c>
      <c r="C38" s="2">
        <v>0.33100000000000002</v>
      </c>
      <c r="D38" s="2">
        <v>0.29699999999999999</v>
      </c>
      <c r="E38" s="2">
        <v>0.38500000000000001</v>
      </c>
    </row>
    <row r="39" spans="1:5" x14ac:dyDescent="0.25">
      <c r="A39">
        <v>25</v>
      </c>
      <c r="B39">
        <f>AVERAGE(C39,D39)</f>
        <v>0.52849999999999997</v>
      </c>
      <c r="C39" s="2">
        <v>0.54600000000000004</v>
      </c>
      <c r="D39" s="2">
        <v>0.51100000000000001</v>
      </c>
      <c r="E39" s="2">
        <v>0.63700000000000001</v>
      </c>
    </row>
    <row r="40" spans="1:5" x14ac:dyDescent="0.25">
      <c r="A40">
        <v>50</v>
      </c>
      <c r="B40">
        <f>AVERAGE(D40:E40)</f>
        <v>0.80149999999999999</v>
      </c>
      <c r="C40" s="2">
        <v>0.90900000000000003</v>
      </c>
      <c r="D40" s="2">
        <v>0.86599999999999999</v>
      </c>
      <c r="E40" s="2">
        <v>0.73699999999999999</v>
      </c>
    </row>
    <row r="41" spans="1:5" x14ac:dyDescent="0.25">
      <c r="A41">
        <v>100</v>
      </c>
      <c r="B41">
        <f>AVERAGE(C41:E41)</f>
        <v>1.3576666666666668</v>
      </c>
      <c r="C41" s="2">
        <v>1.2310000000000001</v>
      </c>
      <c r="D41" s="2">
        <v>1.387</v>
      </c>
      <c r="E41" s="2">
        <v>1.4550000000000001</v>
      </c>
    </row>
    <row r="42" spans="1:5" x14ac:dyDescent="0.25">
      <c r="A42">
        <v>100</v>
      </c>
      <c r="B42">
        <f>AVERAGE(C42:E42)</f>
        <v>1.3259999999999998</v>
      </c>
      <c r="C42" s="2">
        <v>1.373</v>
      </c>
      <c r="D42" s="2">
        <v>1.35</v>
      </c>
      <c r="E42" s="2">
        <v>1.2549999999999999</v>
      </c>
    </row>
    <row r="43" spans="1:5" x14ac:dyDescent="0.25">
      <c r="A43">
        <v>100</v>
      </c>
      <c r="B43">
        <f>AVERAGE(D43:E43)</f>
        <v>1.3109999999999999</v>
      </c>
      <c r="C43" s="2">
        <v>1.381</v>
      </c>
      <c r="D43" s="2">
        <v>1.294</v>
      </c>
      <c r="E43" s="2">
        <v>1.3280000000000001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4.9666666666666665E-2</v>
      </c>
      <c r="C47" s="2">
        <v>4.7E-2</v>
      </c>
      <c r="D47" s="2">
        <v>0.05</v>
      </c>
      <c r="E47" s="2">
        <v>5.1999999999999998E-2</v>
      </c>
    </row>
    <row r="48" spans="1:5" x14ac:dyDescent="0.25">
      <c r="A48">
        <v>5</v>
      </c>
      <c r="B48">
        <f>AVERAGE(C48:E48)</f>
        <v>0.13666666666666669</v>
      </c>
      <c r="C48" s="2">
        <v>0.13600000000000001</v>
      </c>
      <c r="D48" s="2">
        <v>0.13400000000000001</v>
      </c>
      <c r="E48" s="2">
        <v>0.14000000000000001</v>
      </c>
    </row>
    <row r="49" spans="1:5" x14ac:dyDescent="0.25">
      <c r="A49">
        <v>12.5</v>
      </c>
      <c r="B49">
        <f>AVERAGE(C49:E49)</f>
        <v>0.26533333333333331</v>
      </c>
      <c r="C49" s="2">
        <v>0.28199999999999997</v>
      </c>
      <c r="D49" s="2">
        <v>0.27300000000000002</v>
      </c>
      <c r="E49" s="2">
        <v>0.24099999999999999</v>
      </c>
    </row>
    <row r="50" spans="1:5" x14ac:dyDescent="0.25">
      <c r="A50">
        <v>25</v>
      </c>
      <c r="B50">
        <f>AVERAGE(C50:E50)</f>
        <v>0.46599999999999997</v>
      </c>
      <c r="C50" s="2">
        <v>0.47199999999999998</v>
      </c>
      <c r="D50" s="2">
        <v>0.5</v>
      </c>
      <c r="E50" s="2">
        <v>0.42599999999999999</v>
      </c>
    </row>
    <row r="51" spans="1:5" x14ac:dyDescent="0.25">
      <c r="A51">
        <v>50</v>
      </c>
      <c r="B51">
        <f>AVERAGE(C51,E51)</f>
        <v>0.85599999999999998</v>
      </c>
      <c r="C51" s="2">
        <v>0.88100000000000001</v>
      </c>
      <c r="D51" s="2">
        <v>0.83299999999999996</v>
      </c>
      <c r="E51" s="2">
        <v>0.83099999999999996</v>
      </c>
    </row>
    <row r="52" spans="1:5" x14ac:dyDescent="0.25">
      <c r="A52">
        <v>100</v>
      </c>
      <c r="B52">
        <f>AVERAGE(C52:E52)</f>
        <v>1.3816666666666666</v>
      </c>
      <c r="C52" s="2">
        <v>1.4239999999999999</v>
      </c>
      <c r="D52" s="2">
        <v>1.335</v>
      </c>
      <c r="E52" s="2">
        <v>1.3859999999999999</v>
      </c>
    </row>
    <row r="53" spans="1:5" x14ac:dyDescent="0.25">
      <c r="A53">
        <v>100</v>
      </c>
      <c r="B53">
        <f>AVERAGE(C53:E53)</f>
        <v>1.3360000000000001</v>
      </c>
      <c r="C53" s="2">
        <v>1.4019999999999999</v>
      </c>
      <c r="D53" s="2">
        <v>1.3089999999999999</v>
      </c>
      <c r="E53" s="2">
        <v>1.2969999999999999</v>
      </c>
    </row>
    <row r="54" spans="1:5" x14ac:dyDescent="0.25">
      <c r="A54">
        <v>100</v>
      </c>
      <c r="B54">
        <f>AVERAGE(C54:E54)</f>
        <v>1.4139999999999999</v>
      </c>
      <c r="C54" s="2">
        <v>1.56</v>
      </c>
      <c r="D54" s="2">
        <v>1.375</v>
      </c>
      <c r="E54" s="2">
        <v>1.3069999999999999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5.1333333333333335E-2</v>
      </c>
      <c r="C58" s="2">
        <v>5.0999999999999997E-2</v>
      </c>
      <c r="D58" s="2">
        <v>5.2999999999999999E-2</v>
      </c>
      <c r="E58" s="2">
        <v>0.05</v>
      </c>
    </row>
    <row r="59" spans="1:5" x14ac:dyDescent="0.25">
      <c r="A59">
        <v>5</v>
      </c>
      <c r="B59">
        <f>AVERAGE(C59:E59)</f>
        <v>0.13766666666666669</v>
      </c>
      <c r="C59" s="2">
        <v>0.14899999999999999</v>
      </c>
      <c r="D59" s="2">
        <v>0.13100000000000001</v>
      </c>
      <c r="E59" s="2">
        <v>0.13300000000000001</v>
      </c>
    </row>
    <row r="60" spans="1:5" x14ac:dyDescent="0.25">
      <c r="A60">
        <v>12.5</v>
      </c>
      <c r="B60">
        <f>AVERAGE(C60:E60)</f>
        <v>0.28466666666666668</v>
      </c>
      <c r="C60" s="2">
        <v>0.26400000000000001</v>
      </c>
      <c r="D60" s="2">
        <v>0.27300000000000002</v>
      </c>
      <c r="E60" s="2">
        <v>0.317</v>
      </c>
    </row>
    <row r="61" spans="1:5" x14ac:dyDescent="0.25">
      <c r="A61">
        <v>25</v>
      </c>
      <c r="B61">
        <f>AVERAGE(C61:D61)</f>
        <v>0.47599999999999998</v>
      </c>
      <c r="C61" s="2">
        <v>0.48499999999999999</v>
      </c>
      <c r="D61" s="2">
        <v>0.46700000000000003</v>
      </c>
      <c r="E61" s="2">
        <v>0.45300000000000001</v>
      </c>
    </row>
    <row r="62" spans="1:5" x14ac:dyDescent="0.25">
      <c r="A62">
        <v>50</v>
      </c>
      <c r="B62">
        <f>AVERAGE(C62,E62)</f>
        <v>0.86099999999999999</v>
      </c>
      <c r="C62" s="2">
        <v>0.88900000000000001</v>
      </c>
      <c r="D62" s="2">
        <v>0.872</v>
      </c>
      <c r="E62" s="2">
        <v>0.83299999999999996</v>
      </c>
    </row>
    <row r="63" spans="1:5" x14ac:dyDescent="0.25">
      <c r="A63">
        <v>100</v>
      </c>
      <c r="B63">
        <f>AVERAGE(C63,E63)</f>
        <v>1.4079999999999999</v>
      </c>
      <c r="C63" s="2">
        <v>1.5209999999999999</v>
      </c>
      <c r="D63" s="2">
        <v>1.3620000000000001</v>
      </c>
      <c r="E63" s="2">
        <v>1.2949999999999999</v>
      </c>
    </row>
    <row r="64" spans="1:5" x14ac:dyDescent="0.25">
      <c r="A64">
        <v>100</v>
      </c>
      <c r="B64">
        <f>AVERAGE(C64:E64)</f>
        <v>1.099</v>
      </c>
      <c r="C64" s="2">
        <v>0.91</v>
      </c>
      <c r="D64" s="2">
        <v>1.19</v>
      </c>
      <c r="E64" s="2">
        <v>1.1970000000000001</v>
      </c>
    </row>
    <row r="65" spans="1:5" x14ac:dyDescent="0.25">
      <c r="A65">
        <v>100</v>
      </c>
      <c r="B65">
        <f>AVERAGE(C65:E65)</f>
        <v>1.1663333333333332</v>
      </c>
      <c r="C65" s="2">
        <v>0.88700000000000001</v>
      </c>
      <c r="D65" s="2">
        <v>1.333</v>
      </c>
      <c r="E65" s="2">
        <v>1.2789999999999999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5.1333333333333335E-2</v>
      </c>
      <c r="C70" s="2">
        <v>5.0999999999999997E-2</v>
      </c>
      <c r="D70" s="2">
        <v>5.3999999999999999E-2</v>
      </c>
      <c r="E70" s="2">
        <v>4.9000000000000002E-2</v>
      </c>
    </row>
    <row r="71" spans="1:5" x14ac:dyDescent="0.25">
      <c r="A71">
        <v>5</v>
      </c>
      <c r="B71">
        <f>AVERAGE(C71:E71)</f>
        <v>0.127</v>
      </c>
      <c r="C71" s="2">
        <v>0.122</v>
      </c>
      <c r="D71" s="2">
        <v>0.127</v>
      </c>
      <c r="E71" s="2">
        <v>0.13200000000000001</v>
      </c>
    </row>
    <row r="72" spans="1:5" x14ac:dyDescent="0.25">
      <c r="A72">
        <v>12.5</v>
      </c>
      <c r="B72">
        <f>AVERAGE(C72:E72)</f>
        <v>0.30933333333333335</v>
      </c>
      <c r="C72" s="2">
        <v>0.307</v>
      </c>
      <c r="D72" s="2">
        <v>0.27700000000000002</v>
      </c>
      <c r="E72" s="2">
        <v>0.34399999999999997</v>
      </c>
    </row>
    <row r="73" spans="1:5" x14ac:dyDescent="0.25">
      <c r="A73">
        <v>25</v>
      </c>
      <c r="B73">
        <f>AVERAGE(D73:E73)</f>
        <v>0.50150000000000006</v>
      </c>
      <c r="C73" s="2">
        <v>0.497</v>
      </c>
      <c r="D73" s="2">
        <v>0.50800000000000001</v>
      </c>
      <c r="E73" s="2">
        <v>0.495</v>
      </c>
    </row>
    <row r="74" spans="1:5" x14ac:dyDescent="0.25">
      <c r="A74">
        <v>50</v>
      </c>
      <c r="B74">
        <f>AVERAGE(D74:E74)</f>
        <v>0.86499999999999999</v>
      </c>
      <c r="C74" s="2">
        <v>0.80600000000000005</v>
      </c>
      <c r="D74" s="2">
        <v>0.91900000000000004</v>
      </c>
      <c r="E74" s="2">
        <v>0.81100000000000005</v>
      </c>
    </row>
    <row r="75" spans="1:5" x14ac:dyDescent="0.25">
      <c r="A75">
        <v>100</v>
      </c>
      <c r="B75">
        <f>AVERAGE(C75:D75)</f>
        <v>1.405</v>
      </c>
      <c r="C75" s="2">
        <v>1.32</v>
      </c>
      <c r="D75" s="2">
        <v>1.49</v>
      </c>
      <c r="E75" s="2">
        <v>1.31</v>
      </c>
    </row>
    <row r="76" spans="1:5" x14ac:dyDescent="0.25">
      <c r="A76">
        <v>100</v>
      </c>
      <c r="B76" t="e">
        <f>AVERAGE(C76:E76)</f>
        <v>#DIV/0!</v>
      </c>
      <c r="C76" s="2"/>
      <c r="D76" s="2"/>
      <c r="E76" s="2"/>
    </row>
    <row r="77" spans="1:5" x14ac:dyDescent="0.25">
      <c r="A77">
        <v>100</v>
      </c>
      <c r="B77" t="e">
        <f>AVERAGE(C77:E77)</f>
        <v>#DIV/0!</v>
      </c>
      <c r="C77" s="2"/>
      <c r="D77" s="2"/>
      <c r="E77" s="2"/>
    </row>
    <row r="79" spans="1:5" x14ac:dyDescent="0.25">
      <c r="A79" s="1" t="s">
        <v>12</v>
      </c>
    </row>
    <row r="80" spans="1:5" x14ac:dyDescent="0.25">
      <c r="A80" t="s">
        <v>1</v>
      </c>
      <c r="B80" t="s">
        <v>2</v>
      </c>
      <c r="C80" t="s">
        <v>3</v>
      </c>
      <c r="D80" t="s">
        <v>4</v>
      </c>
      <c r="E80" t="s">
        <v>5</v>
      </c>
    </row>
    <row r="81" spans="1:5" x14ac:dyDescent="0.25">
      <c r="A81">
        <v>0</v>
      </c>
      <c r="B81">
        <f>AVERAGE(C81:E81)</f>
        <v>5.1000000000000011E-2</v>
      </c>
      <c r="C81" s="2">
        <v>4.9000000000000002E-2</v>
      </c>
      <c r="D81" s="2">
        <v>5.3999999999999999E-2</v>
      </c>
      <c r="E81" s="2">
        <v>0.05</v>
      </c>
    </row>
    <row r="82" spans="1:5" x14ac:dyDescent="0.25">
      <c r="A82">
        <v>5</v>
      </c>
      <c r="B82">
        <f>AVERAGE(C82:E82)</f>
        <v>0.13933333333333334</v>
      </c>
      <c r="C82" s="2">
        <v>0.13900000000000001</v>
      </c>
      <c r="D82" s="2">
        <v>0.15</v>
      </c>
      <c r="E82" s="2">
        <v>0.129</v>
      </c>
    </row>
    <row r="83" spans="1:5" x14ac:dyDescent="0.25">
      <c r="A83">
        <v>12.5</v>
      </c>
      <c r="B83">
        <f>AVERAGE(C83:E83)</f>
        <v>0.29633333333333334</v>
      </c>
      <c r="C83" s="2">
        <v>0.26400000000000001</v>
      </c>
      <c r="D83" s="2">
        <v>0.28799999999999998</v>
      </c>
      <c r="E83" s="2">
        <v>0.33700000000000002</v>
      </c>
    </row>
    <row r="84" spans="1:5" x14ac:dyDescent="0.25">
      <c r="A84">
        <v>25</v>
      </c>
      <c r="B84">
        <f>AVERAGE(D84:E84)</f>
        <v>0.49299999999999999</v>
      </c>
      <c r="C84" s="2">
        <v>0.45600000000000002</v>
      </c>
      <c r="D84" s="2">
        <v>0.45700000000000002</v>
      </c>
      <c r="E84" s="2">
        <v>0.52900000000000003</v>
      </c>
    </row>
    <row r="85" spans="1:5" x14ac:dyDescent="0.25">
      <c r="A85">
        <v>50</v>
      </c>
      <c r="B85">
        <f>AVERAGE(C85:E85)</f>
        <v>0.85033333333333339</v>
      </c>
      <c r="C85" s="2">
        <v>0.79200000000000004</v>
      </c>
      <c r="D85" s="2">
        <v>0.85099999999999998</v>
      </c>
      <c r="E85" s="2">
        <v>0.90800000000000003</v>
      </c>
    </row>
    <row r="86" spans="1:5" x14ac:dyDescent="0.25">
      <c r="A86">
        <v>100</v>
      </c>
      <c r="B86">
        <f>AVERAGE(C86:D86)</f>
        <v>1.33</v>
      </c>
      <c r="C86" s="2">
        <v>1.351</v>
      </c>
      <c r="D86" s="2">
        <v>1.3089999999999999</v>
      </c>
      <c r="E86" s="2">
        <v>1.1879999999999999</v>
      </c>
    </row>
    <row r="87" spans="1:5" x14ac:dyDescent="0.25">
      <c r="A87">
        <v>100</v>
      </c>
      <c r="B87" t="e">
        <f>AVERAGE(C87:E87)</f>
        <v>#DIV/0!</v>
      </c>
      <c r="C87" s="2"/>
      <c r="D87" s="2"/>
      <c r="E87" s="2"/>
    </row>
    <row r="88" spans="1:5" x14ac:dyDescent="0.25">
      <c r="A88">
        <v>100</v>
      </c>
      <c r="B88" t="e">
        <f>AVERAGE(C88:E88)</f>
        <v>#DIV/0!</v>
      </c>
      <c r="C88" s="2"/>
      <c r="D88" s="2"/>
      <c r="E8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534F-7405-42EF-AB93-0AF4A9CBB605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13</v>
      </c>
      <c r="B2" s="2">
        <v>5.0999999999999997E-2</v>
      </c>
      <c r="C2" s="2">
        <v>5.3999999999999999E-2</v>
      </c>
      <c r="D2" s="2">
        <v>4.9000000000000002E-2</v>
      </c>
      <c r="E2" s="2">
        <v>5.7000000000000002E-2</v>
      </c>
      <c r="F2" s="2">
        <v>5.1999999999999998E-2</v>
      </c>
      <c r="G2" s="2">
        <v>5.3999999999999999E-2</v>
      </c>
      <c r="H2" s="2">
        <v>7.1999999999999995E-2</v>
      </c>
      <c r="I2" s="2">
        <v>7.1999999999999995E-2</v>
      </c>
      <c r="J2" s="2">
        <v>5.7000000000000002E-2</v>
      </c>
      <c r="K2" s="2">
        <v>0.42699999999999999</v>
      </c>
      <c r="L2" s="2">
        <v>0.36899999999999999</v>
      </c>
      <c r="M2" s="2">
        <v>0.36199999999999999</v>
      </c>
      <c r="N2" s="5">
        <v>670</v>
      </c>
    </row>
    <row r="3" spans="1:14" x14ac:dyDescent="0.25">
      <c r="A3" s="4" t="s">
        <v>14</v>
      </c>
      <c r="B3" s="2">
        <v>0.122</v>
      </c>
      <c r="C3" s="2">
        <v>0.127</v>
      </c>
      <c r="D3" s="2">
        <v>0.13200000000000001</v>
      </c>
      <c r="E3" s="2">
        <v>5.6000000000000001E-2</v>
      </c>
      <c r="F3" s="2">
        <v>5.0999999999999997E-2</v>
      </c>
      <c r="G3" s="2">
        <v>5.2999999999999999E-2</v>
      </c>
      <c r="H3" s="2">
        <v>0.16500000000000001</v>
      </c>
      <c r="I3" s="2">
        <v>0.16200000000000001</v>
      </c>
      <c r="J3" s="2">
        <v>0.13800000000000001</v>
      </c>
      <c r="K3" s="2">
        <v>0.14299999999999999</v>
      </c>
      <c r="L3" s="2">
        <v>0.14899999999999999</v>
      </c>
      <c r="M3" s="2">
        <v>0.128</v>
      </c>
      <c r="N3" s="5">
        <v>670</v>
      </c>
    </row>
    <row r="4" spans="1:14" x14ac:dyDescent="0.25">
      <c r="A4" s="4" t="s">
        <v>15</v>
      </c>
      <c r="B4" s="2">
        <v>0.307</v>
      </c>
      <c r="C4" s="2">
        <v>0.27700000000000002</v>
      </c>
      <c r="D4" s="2">
        <v>0.34399999999999997</v>
      </c>
      <c r="E4" s="2">
        <v>5.1999999999999998E-2</v>
      </c>
      <c r="F4" s="2">
        <v>5.0999999999999997E-2</v>
      </c>
      <c r="G4" s="2">
        <v>5.1999999999999998E-2</v>
      </c>
      <c r="H4" s="2">
        <v>0.441</v>
      </c>
      <c r="I4" s="2">
        <v>0.499</v>
      </c>
      <c r="J4" s="2">
        <v>0.38300000000000001</v>
      </c>
      <c r="K4" s="2">
        <v>1.0569999999999999</v>
      </c>
      <c r="L4" s="2">
        <v>0.88800000000000001</v>
      </c>
      <c r="M4" s="2">
        <v>0.85599999999999998</v>
      </c>
      <c r="N4" s="5">
        <v>670</v>
      </c>
    </row>
    <row r="5" spans="1:14" x14ac:dyDescent="0.25">
      <c r="A5" s="4" t="s">
        <v>16</v>
      </c>
      <c r="B5" s="2">
        <v>0.497</v>
      </c>
      <c r="C5" s="2">
        <v>0.50800000000000001</v>
      </c>
      <c r="D5" s="2">
        <v>0.495</v>
      </c>
      <c r="E5" s="2">
        <v>5.0999999999999997E-2</v>
      </c>
      <c r="F5" s="2">
        <v>5.1999999999999998E-2</v>
      </c>
      <c r="G5" s="2">
        <v>5.1999999999999998E-2</v>
      </c>
      <c r="H5" s="2">
        <v>0.46700000000000003</v>
      </c>
      <c r="I5" s="2">
        <v>0.5</v>
      </c>
      <c r="J5" s="2">
        <v>0.40400000000000003</v>
      </c>
      <c r="K5" s="2">
        <v>0.13400000000000001</v>
      </c>
      <c r="L5" s="2">
        <v>0.107</v>
      </c>
      <c r="M5" s="2">
        <v>8.8999999999999996E-2</v>
      </c>
      <c r="N5" s="5">
        <v>670</v>
      </c>
    </row>
    <row r="6" spans="1:14" x14ac:dyDescent="0.25">
      <c r="A6" s="4" t="s">
        <v>17</v>
      </c>
      <c r="B6" s="2">
        <v>0.80600000000000005</v>
      </c>
      <c r="C6" s="2">
        <v>0.91900000000000004</v>
      </c>
      <c r="D6" s="2">
        <v>0.81100000000000005</v>
      </c>
      <c r="E6" s="2">
        <v>5.3999999999999999E-2</v>
      </c>
      <c r="F6" s="2">
        <v>5.2999999999999999E-2</v>
      </c>
      <c r="G6" s="2">
        <v>5.2999999999999999E-2</v>
      </c>
      <c r="H6" s="2">
        <v>0.504</v>
      </c>
      <c r="I6" s="2">
        <v>0.44400000000000001</v>
      </c>
      <c r="J6" s="2">
        <v>0.46400000000000002</v>
      </c>
      <c r="K6" s="2">
        <v>0.10199999999999999</v>
      </c>
      <c r="L6" s="2">
        <v>9.8000000000000004E-2</v>
      </c>
      <c r="M6" s="2">
        <v>8.6999999999999994E-2</v>
      </c>
      <c r="N6" s="5">
        <v>670</v>
      </c>
    </row>
    <row r="7" spans="1:14" x14ac:dyDescent="0.25">
      <c r="A7" s="4" t="s">
        <v>18</v>
      </c>
      <c r="B7" s="2">
        <v>1.32</v>
      </c>
      <c r="C7" s="2">
        <v>1.49</v>
      </c>
      <c r="D7" s="2">
        <v>1.31</v>
      </c>
      <c r="E7" s="2">
        <v>5.7000000000000002E-2</v>
      </c>
      <c r="F7" s="2">
        <v>7.0000000000000007E-2</v>
      </c>
      <c r="G7" s="2">
        <v>5.1999999999999998E-2</v>
      </c>
      <c r="H7" s="2">
        <v>0.6</v>
      </c>
      <c r="I7" s="2">
        <v>0.58499999999999996</v>
      </c>
      <c r="J7" s="2">
        <v>0.48299999999999998</v>
      </c>
      <c r="K7" s="2">
        <v>0.623</v>
      </c>
      <c r="L7" s="2">
        <v>4.4999999999999998E-2</v>
      </c>
      <c r="M7" s="2">
        <v>4.3999999999999997E-2</v>
      </c>
      <c r="N7" s="5">
        <v>670</v>
      </c>
    </row>
    <row r="8" spans="1:14" x14ac:dyDescent="0.25">
      <c r="A8" s="4" t="s">
        <v>19</v>
      </c>
      <c r="B8" s="2">
        <v>0.29699999999999999</v>
      </c>
      <c r="C8" s="2">
        <v>4.3999999999999997E-2</v>
      </c>
      <c r="D8" s="2">
        <v>4.3999999999999997E-2</v>
      </c>
      <c r="E8" s="2">
        <v>5.8000000000000003E-2</v>
      </c>
      <c r="F8" s="2">
        <v>5.2999999999999999E-2</v>
      </c>
      <c r="G8" s="2">
        <v>5.2999999999999999E-2</v>
      </c>
      <c r="H8" s="2">
        <v>1.1100000000000001</v>
      </c>
      <c r="I8" s="2">
        <v>0.93799999999999994</v>
      </c>
      <c r="J8" s="2">
        <v>0.96399999999999997</v>
      </c>
      <c r="K8" s="2">
        <v>4.4999999999999998E-2</v>
      </c>
      <c r="L8" s="2">
        <v>4.4999999999999998E-2</v>
      </c>
      <c r="M8" s="2">
        <v>4.3999999999999997E-2</v>
      </c>
      <c r="N8" s="5">
        <v>670</v>
      </c>
    </row>
    <row r="9" spans="1:14" x14ac:dyDescent="0.25">
      <c r="A9" s="4" t="s">
        <v>20</v>
      </c>
      <c r="B9" s="2">
        <v>4.5999999999999999E-2</v>
      </c>
      <c r="C9" s="2">
        <v>4.3999999999999997E-2</v>
      </c>
      <c r="D9" s="2">
        <v>4.4999999999999998E-2</v>
      </c>
      <c r="E9" s="2">
        <v>5.3999999999999999E-2</v>
      </c>
      <c r="F9" s="2">
        <v>5.0999999999999997E-2</v>
      </c>
      <c r="G9" s="2">
        <v>5.1999999999999998E-2</v>
      </c>
      <c r="H9" s="2">
        <v>1.3560000000000001</v>
      </c>
      <c r="I9" s="2">
        <v>1.177</v>
      </c>
      <c r="J9" s="2">
        <v>1.1080000000000001</v>
      </c>
      <c r="K9" s="2">
        <v>0.27</v>
      </c>
      <c r="L9" s="2">
        <v>0.24399999999999999</v>
      </c>
      <c r="M9" s="2">
        <v>0.26400000000000001</v>
      </c>
      <c r="N9" s="5">
        <v>670</v>
      </c>
    </row>
    <row r="11" spans="1:14" x14ac:dyDescent="0.25">
      <c r="A11" s="3" t="s">
        <v>21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13</v>
      </c>
      <c r="B12" s="6" t="s">
        <v>22</v>
      </c>
      <c r="C12" s="6" t="s">
        <v>22</v>
      </c>
      <c r="D12" s="6" t="s">
        <v>22</v>
      </c>
      <c r="E12" s="6" t="s">
        <v>23</v>
      </c>
      <c r="F12" s="6" t="s">
        <v>23</v>
      </c>
      <c r="G12" s="6" t="s">
        <v>23</v>
      </c>
      <c r="H12" s="6" t="s">
        <v>24</v>
      </c>
      <c r="I12" s="6" t="s">
        <v>24</v>
      </c>
      <c r="J12" s="6" t="s">
        <v>24</v>
      </c>
      <c r="K12" s="6" t="s">
        <v>25</v>
      </c>
      <c r="L12" s="6" t="s">
        <v>25</v>
      </c>
      <c r="M12" s="6" t="s">
        <v>25</v>
      </c>
    </row>
    <row r="13" spans="1:14" x14ac:dyDescent="0.25">
      <c r="A13" s="4" t="s">
        <v>14</v>
      </c>
      <c r="B13" s="6" t="s">
        <v>26</v>
      </c>
      <c r="C13" s="6" t="s">
        <v>26</v>
      </c>
      <c r="D13" s="6" t="s">
        <v>26</v>
      </c>
      <c r="E13" s="6" t="s">
        <v>27</v>
      </c>
      <c r="F13" s="6" t="s">
        <v>27</v>
      </c>
      <c r="G13" s="6" t="s">
        <v>27</v>
      </c>
      <c r="H13" s="6" t="s">
        <v>28</v>
      </c>
      <c r="I13" s="6" t="s">
        <v>28</v>
      </c>
      <c r="J13" s="6" t="s">
        <v>28</v>
      </c>
      <c r="K13" s="6" t="s">
        <v>29</v>
      </c>
      <c r="L13" s="6" t="s">
        <v>29</v>
      </c>
      <c r="M13" s="6" t="s">
        <v>29</v>
      </c>
    </row>
    <row r="14" spans="1:14" x14ac:dyDescent="0.25">
      <c r="A14" s="4" t="s">
        <v>15</v>
      </c>
      <c r="B14" s="6" t="s">
        <v>30</v>
      </c>
      <c r="C14" s="6" t="s">
        <v>30</v>
      </c>
      <c r="D14" s="6" t="s">
        <v>30</v>
      </c>
      <c r="E14" s="6" t="s">
        <v>31</v>
      </c>
      <c r="F14" s="6" t="s">
        <v>31</v>
      </c>
      <c r="G14" s="6" t="s">
        <v>31</v>
      </c>
      <c r="H14" s="6" t="s">
        <v>32</v>
      </c>
      <c r="I14" s="6" t="s">
        <v>32</v>
      </c>
      <c r="J14" s="6" t="s">
        <v>32</v>
      </c>
      <c r="K14" s="6" t="s">
        <v>33</v>
      </c>
      <c r="L14" s="6" t="s">
        <v>33</v>
      </c>
      <c r="M14" s="6" t="s">
        <v>33</v>
      </c>
    </row>
    <row r="15" spans="1:14" x14ac:dyDescent="0.25">
      <c r="A15" s="4" t="s">
        <v>16</v>
      </c>
      <c r="B15" s="6" t="s">
        <v>34</v>
      </c>
      <c r="C15" s="6" t="s">
        <v>34</v>
      </c>
      <c r="D15" s="6" t="s">
        <v>34</v>
      </c>
      <c r="E15" s="6" t="s">
        <v>35</v>
      </c>
      <c r="F15" s="6" t="s">
        <v>35</v>
      </c>
      <c r="G15" s="6" t="s">
        <v>35</v>
      </c>
      <c r="H15" s="6" t="s">
        <v>36</v>
      </c>
      <c r="I15" s="6" t="s">
        <v>36</v>
      </c>
      <c r="J15" s="6" t="s">
        <v>36</v>
      </c>
      <c r="K15" s="6" t="s">
        <v>37</v>
      </c>
      <c r="L15" s="6" t="s">
        <v>37</v>
      </c>
      <c r="M15" s="6" t="s">
        <v>37</v>
      </c>
    </row>
    <row r="16" spans="1:14" x14ac:dyDescent="0.25">
      <c r="A16" s="4" t="s">
        <v>17</v>
      </c>
      <c r="B16" s="6" t="s">
        <v>38</v>
      </c>
      <c r="C16" s="6" t="s">
        <v>38</v>
      </c>
      <c r="D16" s="6" t="s">
        <v>38</v>
      </c>
      <c r="E16" s="6" t="s">
        <v>39</v>
      </c>
      <c r="F16" s="6" t="s">
        <v>39</v>
      </c>
      <c r="G16" s="6" t="s">
        <v>39</v>
      </c>
      <c r="H16" s="6" t="s">
        <v>40</v>
      </c>
      <c r="I16" s="6" t="s">
        <v>40</v>
      </c>
      <c r="J16" s="6" t="s">
        <v>40</v>
      </c>
      <c r="K16" s="6" t="s">
        <v>41</v>
      </c>
      <c r="L16" s="6" t="s">
        <v>41</v>
      </c>
      <c r="M16" s="6" t="s">
        <v>41</v>
      </c>
    </row>
    <row r="17" spans="1:13" x14ac:dyDescent="0.25">
      <c r="A17" s="4" t="s">
        <v>18</v>
      </c>
      <c r="B17" s="6" t="s">
        <v>42</v>
      </c>
      <c r="C17" s="6" t="s">
        <v>42</v>
      </c>
      <c r="D17" s="6" t="s">
        <v>42</v>
      </c>
      <c r="E17" s="6" t="s">
        <v>43</v>
      </c>
      <c r="F17" s="6" t="s">
        <v>43</v>
      </c>
      <c r="G17" s="6" t="s">
        <v>43</v>
      </c>
      <c r="H17" s="6" t="s">
        <v>44</v>
      </c>
      <c r="I17" s="6" t="s">
        <v>44</v>
      </c>
      <c r="J17" s="6" t="s">
        <v>44</v>
      </c>
      <c r="K17" s="6"/>
      <c r="L17" s="6"/>
      <c r="M17" s="6"/>
    </row>
    <row r="18" spans="1:13" x14ac:dyDescent="0.25">
      <c r="A18" s="4" t="s">
        <v>19</v>
      </c>
      <c r="B18" s="6" t="s">
        <v>45</v>
      </c>
      <c r="C18" s="6" t="s">
        <v>45</v>
      </c>
      <c r="D18" s="6" t="s">
        <v>45</v>
      </c>
      <c r="E18" s="6" t="s">
        <v>46</v>
      </c>
      <c r="F18" s="6" t="s">
        <v>46</v>
      </c>
      <c r="G18" s="6" t="s">
        <v>46</v>
      </c>
      <c r="H18" s="6" t="s">
        <v>47</v>
      </c>
      <c r="I18" s="6" t="s">
        <v>47</v>
      </c>
      <c r="J18" s="6" t="s">
        <v>47</v>
      </c>
      <c r="K18" s="6"/>
      <c r="L18" s="6"/>
      <c r="M18" s="6"/>
    </row>
    <row r="19" spans="1:13" x14ac:dyDescent="0.25">
      <c r="A19" s="4" t="s">
        <v>20</v>
      </c>
      <c r="B19" s="6" t="s">
        <v>48</v>
      </c>
      <c r="C19" s="6" t="s">
        <v>48</v>
      </c>
      <c r="D19" s="6" t="s">
        <v>48</v>
      </c>
      <c r="E19" s="6" t="s">
        <v>49</v>
      </c>
      <c r="F19" s="6" t="s">
        <v>49</v>
      </c>
      <c r="G19" s="6" t="s">
        <v>49</v>
      </c>
      <c r="H19" s="6" t="s">
        <v>50</v>
      </c>
      <c r="I19" s="6" t="s">
        <v>50</v>
      </c>
      <c r="J19" s="6" t="s">
        <v>50</v>
      </c>
      <c r="K19" s="6" t="s">
        <v>51</v>
      </c>
      <c r="L19" s="6" t="s">
        <v>51</v>
      </c>
      <c r="M19" s="6" t="s">
        <v>51</v>
      </c>
    </row>
    <row r="21" spans="1:13" ht="30" x14ac:dyDescent="0.25">
      <c r="A21" s="3" t="s">
        <v>52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14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15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16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17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18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19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20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3825-C3DE-4EE7-8AA3-89683C5B47BA}">
  <dimension ref="A1:N29"/>
  <sheetViews>
    <sheetView tabSelected="1" workbookViewId="0">
      <selection activeCell="E8" sqref="E8"/>
    </sheetView>
  </sheetViews>
  <sheetFormatPr defaultRowHeight="15" x14ac:dyDescent="0.25"/>
  <sheetData>
    <row r="1" spans="1:14" x14ac:dyDescent="0.25">
      <c r="A1" s="3" t="s">
        <v>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13</v>
      </c>
      <c r="B2" s="2">
        <v>4.9000000000000002E-2</v>
      </c>
      <c r="C2" s="2">
        <v>5.3999999999999999E-2</v>
      </c>
      <c r="D2" s="2">
        <v>0.05</v>
      </c>
      <c r="E2" s="2">
        <v>5.5E-2</v>
      </c>
      <c r="F2" s="2">
        <v>0.05</v>
      </c>
      <c r="G2" s="2">
        <v>5.7000000000000002E-2</v>
      </c>
      <c r="H2" s="2">
        <v>5.7000000000000002E-2</v>
      </c>
      <c r="I2" s="2">
        <v>0.06</v>
      </c>
      <c r="J2" s="2">
        <v>5.7000000000000002E-2</v>
      </c>
      <c r="K2" s="2">
        <v>0.63800000000000001</v>
      </c>
      <c r="L2" s="2">
        <v>0.58399999999999996</v>
      </c>
      <c r="M2" s="2">
        <v>0.63700000000000001</v>
      </c>
      <c r="N2" s="5">
        <v>670</v>
      </c>
    </row>
    <row r="3" spans="1:14" x14ac:dyDescent="0.25">
      <c r="A3" s="4" t="s">
        <v>14</v>
      </c>
      <c r="B3" s="2">
        <v>0.13900000000000001</v>
      </c>
      <c r="C3" s="2">
        <v>0.15</v>
      </c>
      <c r="D3" s="2">
        <v>0.129</v>
      </c>
      <c r="E3" s="2">
        <v>5.2999999999999999E-2</v>
      </c>
      <c r="F3" s="2">
        <v>5.2999999999999999E-2</v>
      </c>
      <c r="G3" s="2">
        <v>5.3999999999999999E-2</v>
      </c>
      <c r="H3" s="2">
        <v>5.5E-2</v>
      </c>
      <c r="I3" s="2">
        <v>5.8000000000000003E-2</v>
      </c>
      <c r="J3" s="2">
        <v>5.6000000000000001E-2</v>
      </c>
      <c r="K3" s="2">
        <v>0.28499999999999998</v>
      </c>
      <c r="L3" s="2">
        <v>0.29699999999999999</v>
      </c>
      <c r="M3" s="2">
        <v>0.19</v>
      </c>
      <c r="N3" s="5">
        <v>670</v>
      </c>
    </row>
    <row r="4" spans="1:14" x14ac:dyDescent="0.25">
      <c r="A4" s="4" t="s">
        <v>15</v>
      </c>
      <c r="B4" s="2">
        <v>0.26400000000000001</v>
      </c>
      <c r="C4" s="2">
        <v>0.28799999999999998</v>
      </c>
      <c r="D4" s="2">
        <v>0.33700000000000002</v>
      </c>
      <c r="E4" s="2">
        <v>5.5E-2</v>
      </c>
      <c r="F4" s="2">
        <v>5.1999999999999998E-2</v>
      </c>
      <c r="G4" s="2">
        <v>5.8000000000000003E-2</v>
      </c>
      <c r="H4" s="2">
        <v>0.06</v>
      </c>
      <c r="I4" s="2">
        <v>5.7000000000000002E-2</v>
      </c>
      <c r="J4" s="2">
        <v>5.6000000000000001E-2</v>
      </c>
      <c r="K4" s="2">
        <v>1.117</v>
      </c>
      <c r="L4" s="2">
        <v>1.1359999999999999</v>
      </c>
      <c r="M4" s="2">
        <v>0.97399999999999998</v>
      </c>
      <c r="N4" s="5">
        <v>670</v>
      </c>
    </row>
    <row r="5" spans="1:14" x14ac:dyDescent="0.25">
      <c r="A5" s="4" t="s">
        <v>16</v>
      </c>
      <c r="B5" s="2">
        <v>0.45600000000000002</v>
      </c>
      <c r="C5" s="2">
        <v>0.45700000000000002</v>
      </c>
      <c r="D5" s="2">
        <v>0.52900000000000003</v>
      </c>
      <c r="E5" s="2">
        <v>5.8000000000000003E-2</v>
      </c>
      <c r="F5" s="2">
        <v>5.5E-2</v>
      </c>
      <c r="G5" s="2">
        <v>5.2999999999999999E-2</v>
      </c>
      <c r="H5" s="2">
        <v>5.7000000000000002E-2</v>
      </c>
      <c r="I5" s="2">
        <v>5.3999999999999999E-2</v>
      </c>
      <c r="J5" s="2">
        <v>5.5E-2</v>
      </c>
      <c r="K5" s="2">
        <v>0.47799999999999998</v>
      </c>
      <c r="L5" s="2">
        <v>0.442</v>
      </c>
      <c r="M5" s="2">
        <v>0.41299999999999998</v>
      </c>
      <c r="N5" s="5">
        <v>670</v>
      </c>
    </row>
    <row r="6" spans="1:14" x14ac:dyDescent="0.25">
      <c r="A6" s="4" t="s">
        <v>17</v>
      </c>
      <c r="B6" s="2">
        <v>0.79200000000000004</v>
      </c>
      <c r="C6" s="2">
        <v>0.85099999999999998</v>
      </c>
      <c r="D6" s="2">
        <v>0.90800000000000003</v>
      </c>
      <c r="E6" s="2">
        <v>5.6000000000000001E-2</v>
      </c>
      <c r="F6" s="2">
        <v>5.5E-2</v>
      </c>
      <c r="G6" s="2">
        <v>5.2999999999999999E-2</v>
      </c>
      <c r="H6" s="2">
        <v>5.3999999999999999E-2</v>
      </c>
      <c r="I6" s="2">
        <v>5.2999999999999999E-2</v>
      </c>
      <c r="J6" s="2">
        <v>5.2999999999999999E-2</v>
      </c>
      <c r="K6" s="2">
        <v>0.434</v>
      </c>
      <c r="L6" s="2">
        <v>0.39800000000000002</v>
      </c>
      <c r="M6" s="2">
        <v>0.35399999999999998</v>
      </c>
      <c r="N6" s="5">
        <v>670</v>
      </c>
    </row>
    <row r="7" spans="1:14" x14ac:dyDescent="0.25">
      <c r="A7" s="4" t="s">
        <v>18</v>
      </c>
      <c r="B7" s="2">
        <v>1.351</v>
      </c>
      <c r="C7" s="2">
        <v>1.3089999999999999</v>
      </c>
      <c r="D7" s="2">
        <v>1.1879999999999999</v>
      </c>
      <c r="E7" s="2">
        <v>0.128</v>
      </c>
      <c r="F7" s="2">
        <v>0.12</v>
      </c>
      <c r="G7" s="2">
        <v>0.13</v>
      </c>
      <c r="H7" s="2">
        <v>5.1999999999999998E-2</v>
      </c>
      <c r="I7" s="2">
        <v>5.2999999999999999E-2</v>
      </c>
      <c r="J7" s="2">
        <v>5.2999999999999999E-2</v>
      </c>
      <c r="K7" s="2">
        <v>5.5E-2</v>
      </c>
      <c r="L7" s="2">
        <v>5.3999999999999999E-2</v>
      </c>
      <c r="M7" s="2">
        <v>5.5E-2</v>
      </c>
      <c r="N7" s="5">
        <v>670</v>
      </c>
    </row>
    <row r="8" spans="1:14" x14ac:dyDescent="0.25">
      <c r="A8" s="4" t="s">
        <v>19</v>
      </c>
      <c r="B8" s="2">
        <v>4.3999999999999997E-2</v>
      </c>
      <c r="C8" s="2">
        <v>4.3999999999999997E-2</v>
      </c>
      <c r="D8" s="2">
        <v>4.3999999999999997E-2</v>
      </c>
      <c r="E8" s="2">
        <v>0.123</v>
      </c>
      <c r="F8" s="2">
        <v>0.123</v>
      </c>
      <c r="G8" s="2">
        <v>0.11600000000000001</v>
      </c>
      <c r="H8" s="2">
        <v>1.421</v>
      </c>
      <c r="I8" s="2">
        <v>1.349</v>
      </c>
      <c r="J8" s="2">
        <v>1.2789999999999999</v>
      </c>
      <c r="K8" s="2">
        <v>5.1999999999999998E-2</v>
      </c>
      <c r="L8" s="2">
        <v>5.3999999999999999E-2</v>
      </c>
      <c r="M8" s="2">
        <v>5.0999999999999997E-2</v>
      </c>
      <c r="N8" s="5">
        <v>670</v>
      </c>
    </row>
    <row r="9" spans="1:14" x14ac:dyDescent="0.25">
      <c r="A9" s="4" t="s">
        <v>20</v>
      </c>
      <c r="B9" s="2">
        <v>4.5999999999999999E-2</v>
      </c>
      <c r="C9" s="2">
        <v>4.3999999999999997E-2</v>
      </c>
      <c r="D9" s="2">
        <v>4.7E-2</v>
      </c>
      <c r="E9" s="2">
        <v>7.6999999999999999E-2</v>
      </c>
      <c r="F9" s="2">
        <v>7.6999999999999999E-2</v>
      </c>
      <c r="G9" s="2">
        <v>7.6999999999999999E-2</v>
      </c>
      <c r="H9" s="2">
        <v>1.5509999999999999</v>
      </c>
      <c r="I9" s="2">
        <v>1.5349999999999999</v>
      </c>
      <c r="J9" s="2">
        <v>1.456</v>
      </c>
      <c r="K9" s="2">
        <v>4.3999999999999997E-2</v>
      </c>
      <c r="L9" s="2">
        <v>4.3999999999999997E-2</v>
      </c>
      <c r="M9" s="2">
        <v>4.4999999999999998E-2</v>
      </c>
      <c r="N9" s="5">
        <v>670</v>
      </c>
    </row>
    <row r="11" spans="1:14" x14ac:dyDescent="0.25">
      <c r="A11" s="3" t="s">
        <v>21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13</v>
      </c>
      <c r="B12" s="6" t="s">
        <v>22</v>
      </c>
      <c r="C12" s="6" t="s">
        <v>22</v>
      </c>
      <c r="D12" s="6" t="s">
        <v>22</v>
      </c>
      <c r="E12" s="6" t="s">
        <v>53</v>
      </c>
      <c r="F12" s="6" t="s">
        <v>53</v>
      </c>
      <c r="G12" s="6" t="s">
        <v>53</v>
      </c>
      <c r="H12" s="6" t="s">
        <v>54</v>
      </c>
      <c r="I12" s="6" t="s">
        <v>54</v>
      </c>
      <c r="J12" s="6" t="s">
        <v>54</v>
      </c>
      <c r="K12" s="6" t="s">
        <v>55</v>
      </c>
      <c r="L12" s="6" t="s">
        <v>55</v>
      </c>
      <c r="M12" s="6" t="s">
        <v>55</v>
      </c>
    </row>
    <row r="13" spans="1:14" x14ac:dyDescent="0.25">
      <c r="A13" s="4" t="s">
        <v>14</v>
      </c>
      <c r="B13" s="6" t="s">
        <v>26</v>
      </c>
      <c r="C13" s="6" t="s">
        <v>26</v>
      </c>
      <c r="D13" s="6" t="s">
        <v>26</v>
      </c>
      <c r="E13" s="6" t="s">
        <v>56</v>
      </c>
      <c r="F13" s="6" t="s">
        <v>56</v>
      </c>
      <c r="G13" s="6" t="s">
        <v>56</v>
      </c>
      <c r="H13" s="6" t="s">
        <v>57</v>
      </c>
      <c r="I13" s="6" t="s">
        <v>57</v>
      </c>
      <c r="J13" s="6" t="s">
        <v>57</v>
      </c>
      <c r="K13" s="6" t="s">
        <v>58</v>
      </c>
      <c r="L13" s="6" t="s">
        <v>58</v>
      </c>
      <c r="M13" s="6" t="s">
        <v>58</v>
      </c>
    </row>
    <row r="14" spans="1:14" x14ac:dyDescent="0.25">
      <c r="A14" s="4" t="s">
        <v>15</v>
      </c>
      <c r="B14" s="6" t="s">
        <v>30</v>
      </c>
      <c r="C14" s="6" t="s">
        <v>30</v>
      </c>
      <c r="D14" s="6" t="s">
        <v>30</v>
      </c>
      <c r="E14" s="6" t="s">
        <v>59</v>
      </c>
      <c r="F14" s="6" t="s">
        <v>59</v>
      </c>
      <c r="G14" s="6" t="s">
        <v>59</v>
      </c>
      <c r="H14" s="6" t="s">
        <v>60</v>
      </c>
      <c r="I14" s="6" t="s">
        <v>60</v>
      </c>
      <c r="J14" s="6" t="s">
        <v>60</v>
      </c>
      <c r="K14" s="6" t="s">
        <v>61</v>
      </c>
      <c r="L14" s="6" t="s">
        <v>61</v>
      </c>
      <c r="M14" s="6" t="s">
        <v>61</v>
      </c>
    </row>
    <row r="15" spans="1:14" x14ac:dyDescent="0.25">
      <c r="A15" s="4" t="s">
        <v>16</v>
      </c>
      <c r="B15" s="6" t="s">
        <v>34</v>
      </c>
      <c r="C15" s="6" t="s">
        <v>34</v>
      </c>
      <c r="D15" s="6" t="s">
        <v>34</v>
      </c>
      <c r="E15" s="6" t="s">
        <v>62</v>
      </c>
      <c r="F15" s="6" t="s">
        <v>62</v>
      </c>
      <c r="G15" s="6" t="s">
        <v>62</v>
      </c>
      <c r="H15" s="6" t="s">
        <v>63</v>
      </c>
      <c r="I15" s="6" t="s">
        <v>63</v>
      </c>
      <c r="J15" s="6" t="s">
        <v>63</v>
      </c>
      <c r="K15" s="6" t="s">
        <v>64</v>
      </c>
      <c r="L15" s="6" t="s">
        <v>64</v>
      </c>
      <c r="M15" s="6" t="s">
        <v>64</v>
      </c>
    </row>
    <row r="16" spans="1:14" x14ac:dyDescent="0.25">
      <c r="A16" s="4" t="s">
        <v>17</v>
      </c>
      <c r="B16" s="6" t="s">
        <v>38</v>
      </c>
      <c r="C16" s="6" t="s">
        <v>38</v>
      </c>
      <c r="D16" s="6" t="s">
        <v>38</v>
      </c>
      <c r="E16" s="6" t="s">
        <v>65</v>
      </c>
      <c r="F16" s="6" t="s">
        <v>65</v>
      </c>
      <c r="G16" s="6" t="s">
        <v>65</v>
      </c>
      <c r="H16" s="6" t="s">
        <v>66</v>
      </c>
      <c r="I16" s="6" t="s">
        <v>66</v>
      </c>
      <c r="J16" s="6" t="s">
        <v>66</v>
      </c>
      <c r="K16" s="6" t="s">
        <v>67</v>
      </c>
      <c r="L16" s="6" t="s">
        <v>67</v>
      </c>
      <c r="M16" s="6" t="s">
        <v>67</v>
      </c>
    </row>
    <row r="17" spans="1:13" x14ac:dyDescent="0.25">
      <c r="A17" s="4" t="s">
        <v>18</v>
      </c>
      <c r="B17" s="6" t="s">
        <v>42</v>
      </c>
      <c r="C17" s="6" t="s">
        <v>42</v>
      </c>
      <c r="D17" s="6" t="s">
        <v>42</v>
      </c>
      <c r="E17" s="6" t="s">
        <v>68</v>
      </c>
      <c r="F17" s="6" t="s">
        <v>68</v>
      </c>
      <c r="G17" s="6" t="s">
        <v>68</v>
      </c>
      <c r="H17" s="6" t="s">
        <v>69</v>
      </c>
      <c r="I17" s="6" t="s">
        <v>69</v>
      </c>
      <c r="J17" s="6" t="s">
        <v>69</v>
      </c>
      <c r="K17" s="6" t="s">
        <v>70</v>
      </c>
      <c r="L17" s="6" t="s">
        <v>70</v>
      </c>
      <c r="M17" s="6" t="s">
        <v>70</v>
      </c>
    </row>
    <row r="18" spans="1:13" x14ac:dyDescent="0.25">
      <c r="A18" s="4" t="s">
        <v>19</v>
      </c>
      <c r="B18" s="6" t="s">
        <v>45</v>
      </c>
      <c r="C18" s="6" t="s">
        <v>45</v>
      </c>
      <c r="D18" s="6" t="s">
        <v>45</v>
      </c>
      <c r="E18" s="6" t="s">
        <v>71</v>
      </c>
      <c r="F18" s="6" t="s">
        <v>71</v>
      </c>
      <c r="G18" s="6" t="s">
        <v>71</v>
      </c>
      <c r="H18" s="6" t="s">
        <v>72</v>
      </c>
      <c r="I18" s="6" t="s">
        <v>72</v>
      </c>
      <c r="J18" s="6" t="s">
        <v>72</v>
      </c>
      <c r="K18" s="6" t="s">
        <v>73</v>
      </c>
      <c r="L18" s="6" t="s">
        <v>73</v>
      </c>
      <c r="M18" s="6" t="s">
        <v>73</v>
      </c>
    </row>
    <row r="19" spans="1:13" x14ac:dyDescent="0.25">
      <c r="A19" s="4" t="s">
        <v>20</v>
      </c>
      <c r="B19" s="6" t="s">
        <v>48</v>
      </c>
      <c r="C19" s="6" t="s">
        <v>48</v>
      </c>
      <c r="D19" s="6" t="s">
        <v>48</v>
      </c>
      <c r="E19" s="6" t="s">
        <v>74</v>
      </c>
      <c r="F19" s="6" t="s">
        <v>74</v>
      </c>
      <c r="G19" s="6" t="s">
        <v>74</v>
      </c>
      <c r="H19" s="6" t="s">
        <v>75</v>
      </c>
      <c r="I19" s="6" t="s">
        <v>75</v>
      </c>
      <c r="J19" s="6" t="s">
        <v>75</v>
      </c>
      <c r="K19" s="6"/>
      <c r="L19" s="6"/>
      <c r="M19" s="6"/>
    </row>
    <row r="21" spans="1:13" ht="30" x14ac:dyDescent="0.25">
      <c r="A21" s="3" t="s">
        <v>52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14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15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16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17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18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19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20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2023-09-05T00:28:27Z</dcterms:created>
  <dcterms:modified xsi:type="dcterms:W3CDTF">2023-09-05T00:29:19Z</dcterms:modified>
</cp:coreProperties>
</file>