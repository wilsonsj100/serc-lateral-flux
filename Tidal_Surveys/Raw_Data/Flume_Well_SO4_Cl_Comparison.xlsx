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RAD7\July 2023 Tidal Survey\Survey Data\Dionex Files\"/>
    </mc:Choice>
  </mc:AlternateContent>
  <xr:revisionPtr revIDLastSave="0" documentId="13_ncr:1_{FBB4FCF2-9003-4BB3-8BF2-C27B27520AC2}" xr6:coauthVersionLast="47" xr6:coauthVersionMax="47" xr10:uidLastSave="{00000000-0000-0000-0000-000000000000}"/>
  <bookViews>
    <workbookView xWindow="-120" yWindow="-120" windowWidth="29040" windowHeight="15720" xr2:uid="{6B020850-206E-4D5C-B2EE-7E3AD0BF4F3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M6" i="2"/>
  <c r="N5" i="2"/>
  <c r="M5" i="2"/>
  <c r="N4" i="2"/>
  <c r="M4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O5" i="2" l="1"/>
  <c r="O6" i="2"/>
  <c r="O4" i="2"/>
</calcChain>
</file>

<file path=xl/sharedStrings.xml><?xml version="1.0" encoding="utf-8"?>
<sst xmlns="http://schemas.openxmlformats.org/spreadsheetml/2006/main" count="144" uniqueCount="85">
  <si>
    <t>Sample_ID</t>
  </si>
  <si>
    <t>SO4_ppm</t>
  </si>
  <si>
    <t>SO4_Area</t>
  </si>
  <si>
    <t>Cl_ppm</t>
  </si>
  <si>
    <t>Cl_Area</t>
  </si>
  <si>
    <t>SO4_mM</t>
  </si>
  <si>
    <t>Cl_mM</t>
  </si>
  <si>
    <t>salinity</t>
  </si>
  <si>
    <t>1_FTS_GW1_1245_20240208</t>
  </si>
  <si>
    <t>10_FTS_1100_20240208</t>
  </si>
  <si>
    <t>11_FTS_1200_20240208</t>
  </si>
  <si>
    <t>12_FTS_1300_20240208</t>
  </si>
  <si>
    <t>13_FTS_1400_20240208</t>
  </si>
  <si>
    <t>14_FTS_1500_20240208</t>
  </si>
  <si>
    <t>15_FTS_1600_20240208</t>
  </si>
  <si>
    <t>16_FTS_ISCO_1600_20240208</t>
  </si>
  <si>
    <t>17_FTS_1700_20240208</t>
  </si>
  <si>
    <t>18_FTS_ISCO_1700_20240208</t>
  </si>
  <si>
    <t>19_FTS_1800_20240208</t>
  </si>
  <si>
    <t>2_FTS_GW2_1345_20240208</t>
  </si>
  <si>
    <t>20_FTS_ISCO_1800_20240208</t>
  </si>
  <si>
    <t>21_FTS_1900_20240208</t>
  </si>
  <si>
    <t>22_FTS_ISCO_1900_20240208</t>
  </si>
  <si>
    <t>23_FTS_2000_20240208</t>
  </si>
  <si>
    <t>24_FTS_ISCO_2000_20240208</t>
  </si>
  <si>
    <t>25_FTS_2100_20240208</t>
  </si>
  <si>
    <t>26_FTS_ISCO_2100_20240208</t>
  </si>
  <si>
    <t>27_FTS_ISCO_2200_20240208</t>
  </si>
  <si>
    <t>28_FTS_ISCO_2300_20240208</t>
  </si>
  <si>
    <t>29_FTS_ISCO_2400_20240208</t>
  </si>
  <si>
    <t>3_FTS_GW3_1445_20240208</t>
  </si>
  <si>
    <t>30_FTS_ISCO_0000_20240209</t>
  </si>
  <si>
    <t>31_FTS_ISCO_0100_20240209</t>
  </si>
  <si>
    <t>32_FTS_ISCO_0200_20240209</t>
  </si>
  <si>
    <t>33_FTS_ISCO_0300_20240209</t>
  </si>
  <si>
    <t>34_FTS_ISCO_0400_20240209</t>
  </si>
  <si>
    <t>35_FTS_ISCO_0500_20240209</t>
  </si>
  <si>
    <t>36_FTS_ISCO_0600_20240209</t>
  </si>
  <si>
    <t>37_FTS_ISCO_0700_20240209</t>
  </si>
  <si>
    <t>38_FTS_ISCO_1000_20240209</t>
  </si>
  <si>
    <t>39_FTS_ISCO_1100_20240209</t>
  </si>
  <si>
    <t>4_FTS_GW4_1545_20240208</t>
  </si>
  <si>
    <t>40_FTS_ISCO_1200_20240209</t>
  </si>
  <si>
    <t>41_FTS_ISCO_1300_20240209</t>
  </si>
  <si>
    <t>42_FTS_GW1_20240215</t>
  </si>
  <si>
    <t>43_FTS_GW2_20240215</t>
  </si>
  <si>
    <t>44_FTS_GW4_1045_20240215</t>
  </si>
  <si>
    <t>45_FTS_GW6_1145_20240215</t>
  </si>
  <si>
    <t>46_FTS_TMP_FW1_20240216</t>
  </si>
  <si>
    <t>47_FTS_TMP_FW2_20240216</t>
  </si>
  <si>
    <t>48_FTS_TMP_FS1_20240216</t>
  </si>
  <si>
    <t>49_FTS_0800_20240215</t>
  </si>
  <si>
    <t>5_FTS_GW5_1645_20240208</t>
  </si>
  <si>
    <t>50_FTS_0900_20240215</t>
  </si>
  <si>
    <t>51_FTS_1000_20240215</t>
  </si>
  <si>
    <t>52_FTS_1100_20240215</t>
  </si>
  <si>
    <t>53_FTS_1200_20240215</t>
  </si>
  <si>
    <t>54_FTS_1300_20240215</t>
  </si>
  <si>
    <t>55_FTS_1400_20240215</t>
  </si>
  <si>
    <t>56_FTS_1500_20240215</t>
  </si>
  <si>
    <t>57_FTS_1600_20240215</t>
  </si>
  <si>
    <t>58_FTS_1700_20240215</t>
  </si>
  <si>
    <t>59_FTS_1800_20240215</t>
  </si>
  <si>
    <t>6_FTS_TMP_FW1_1215_20240209</t>
  </si>
  <si>
    <t>60_FTS_1900_20240215</t>
  </si>
  <si>
    <t>61_TEMPEST_Aquifer_A_20240124</t>
  </si>
  <si>
    <t>4e-04</t>
  </si>
  <si>
    <t>4.26244e-05</t>
  </si>
  <si>
    <t>62_TEMPEST_Aquifer_B_20240124</t>
  </si>
  <si>
    <t>2.6e-05</t>
  </si>
  <si>
    <t>63_TEMPEST_Aquifer_C_20240124</t>
  </si>
  <si>
    <t>7_FTS_TMP_FW2_1145_20240209</t>
  </si>
  <si>
    <t>8_FTS_0900_20240208</t>
  </si>
  <si>
    <t>9_FTS_1000_20240208</t>
  </si>
  <si>
    <t>Wetland Well</t>
  </si>
  <si>
    <t>Flume</t>
  </si>
  <si>
    <t>SO4:Cl</t>
  </si>
  <si>
    <t xml:space="preserve">Averages </t>
  </si>
  <si>
    <t>Location</t>
  </si>
  <si>
    <t xml:space="preserve">TEMPEST Well - FW </t>
  </si>
  <si>
    <t>TEMPEST Well - Between FW &amp; SW</t>
  </si>
  <si>
    <t>SO4 (mM)</t>
  </si>
  <si>
    <t>Cl (mM)</t>
  </si>
  <si>
    <t>Wetland Wells</t>
  </si>
  <si>
    <t>TEMPEST 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</si>
</sst>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C069-D516-4E81-AB3E-A9764C4C2D18}">
  <dimension ref="A1:O64"/>
  <sheetViews>
    <sheetView tabSelected="1" workbookViewId="0">
      <selection activeCell="O9" sqref="O9"/>
    </sheetView>
  </sheetViews>
  <sheetFormatPr defaultRowHeight="15" x14ac:dyDescent="0.25"/>
  <cols>
    <col min="1" max="1" width="31.5703125" bestFit="1" customWidth="1"/>
    <col min="2" max="2" width="31.5703125" customWidth="1"/>
    <col min="11" max="11" width="11.5703125" customWidth="1"/>
    <col min="12" max="12" width="24" customWidth="1"/>
    <col min="13" max="13" width="13.28515625" customWidth="1"/>
    <col min="14" max="14" width="12.85546875" customWidth="1"/>
    <col min="15" max="15" width="14.7109375" customWidth="1"/>
  </cols>
  <sheetData>
    <row r="1" spans="1:15" x14ac:dyDescent="0.25">
      <c r="A1" t="s">
        <v>0</v>
      </c>
      <c r="B1" t="s">
        <v>78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76</v>
      </c>
    </row>
    <row r="2" spans="1:15" x14ac:dyDescent="0.25">
      <c r="A2" s="6" t="s">
        <v>9</v>
      </c>
      <c r="B2" s="6" t="s">
        <v>75</v>
      </c>
      <c r="C2" s="6">
        <v>165.0078</v>
      </c>
      <c r="D2" s="6">
        <v>2.5678999999999998</v>
      </c>
      <c r="E2" s="6">
        <v>1197.7909999999999</v>
      </c>
      <c r="F2" s="6">
        <v>22.857299999999999</v>
      </c>
      <c r="G2" s="6">
        <v>5.1468434185901399</v>
      </c>
      <c r="H2" s="6">
        <v>33.788180535966099</v>
      </c>
      <c r="I2" s="6">
        <v>2.1644343369999999</v>
      </c>
      <c r="J2" s="2">
        <f>G2/H2</f>
        <v>0.15232674079953909</v>
      </c>
    </row>
    <row r="3" spans="1:15" x14ac:dyDescent="0.25">
      <c r="A3" s="6" t="s">
        <v>10</v>
      </c>
      <c r="B3" s="6" t="s">
        <v>75</v>
      </c>
      <c r="C3" s="6">
        <v>314.23360000000002</v>
      </c>
      <c r="D3" s="6">
        <v>4.8902000000000001</v>
      </c>
      <c r="E3" s="6">
        <v>2419.9052999999999</v>
      </c>
      <c r="F3" s="6">
        <v>46.178699999999999</v>
      </c>
      <c r="G3" s="6">
        <v>9.8014223331253891</v>
      </c>
      <c r="H3" s="6">
        <v>68.262490832157994</v>
      </c>
      <c r="I3" s="6">
        <v>4.3727948770999996</v>
      </c>
      <c r="J3" s="2">
        <f t="shared" ref="J3:J61" si="0">G3/H3</f>
        <v>0.14358430543099968</v>
      </c>
      <c r="L3" s="7" t="s">
        <v>77</v>
      </c>
      <c r="M3" s="7" t="s">
        <v>81</v>
      </c>
      <c r="N3" s="7" t="s">
        <v>82</v>
      </c>
      <c r="O3" s="7" t="s">
        <v>76</v>
      </c>
    </row>
    <row r="4" spans="1:15" x14ac:dyDescent="0.25">
      <c r="A4" s="6" t="s">
        <v>11</v>
      </c>
      <c r="B4" s="6" t="s">
        <v>75</v>
      </c>
      <c r="C4" s="6">
        <v>346.17419999999998</v>
      </c>
      <c r="D4" s="6">
        <v>5.3872999999999998</v>
      </c>
      <c r="E4" s="6">
        <v>2623.7764999999999</v>
      </c>
      <c r="F4" s="6">
        <v>50.069099999999999</v>
      </c>
      <c r="G4" s="6">
        <v>10.797698066125999</v>
      </c>
      <c r="H4" s="6">
        <v>74.013441466854701</v>
      </c>
      <c r="I4" s="6">
        <v>4.7411901355000001</v>
      </c>
      <c r="J4" s="2">
        <f t="shared" si="0"/>
        <v>0.14588833936281037</v>
      </c>
      <c r="L4" s="8" t="s">
        <v>75</v>
      </c>
      <c r="M4" s="9">
        <f>AVERAGE(G2:G47)</f>
        <v>10.346729908595298</v>
      </c>
      <c r="N4" s="9">
        <f>AVERAGE(H2:H47)</f>
        <v>70.772217084687554</v>
      </c>
      <c r="O4" s="9">
        <f>AVERAGE(J2:J47)</f>
        <v>0.14618458096212833</v>
      </c>
    </row>
    <row r="5" spans="1:15" x14ac:dyDescent="0.25">
      <c r="A5" s="6" t="s">
        <v>12</v>
      </c>
      <c r="B5" s="6" t="s">
        <v>75</v>
      </c>
      <c r="C5" s="6">
        <v>369.21</v>
      </c>
      <c r="D5" s="6">
        <v>5.7458</v>
      </c>
      <c r="E5" s="6">
        <v>2749.9344000000001</v>
      </c>
      <c r="F5" s="6">
        <v>52.476599999999998</v>
      </c>
      <c r="G5" s="6">
        <v>11.516219588272</v>
      </c>
      <c r="H5" s="6">
        <v>77.572197461212994</v>
      </c>
      <c r="I5" s="6">
        <v>4.9691574608</v>
      </c>
      <c r="J5" s="2">
        <f t="shared" si="0"/>
        <v>0.1484580811834065</v>
      </c>
      <c r="L5" s="10" t="s">
        <v>83</v>
      </c>
      <c r="M5" s="11">
        <f>AVERAGE(G48:G56)</f>
        <v>13.308731891592149</v>
      </c>
      <c r="N5" s="11">
        <f>AVERAGE(H48:H56)</f>
        <v>114.59083905343979</v>
      </c>
      <c r="O5" s="11">
        <f>AVERAGE(J48:J56)</f>
        <v>0.11277462043860699</v>
      </c>
    </row>
    <row r="6" spans="1:15" x14ac:dyDescent="0.25">
      <c r="A6" s="6" t="s">
        <v>13</v>
      </c>
      <c r="B6" s="6" t="s">
        <v>75</v>
      </c>
      <c r="C6" s="6">
        <v>359.14800000000002</v>
      </c>
      <c r="D6" s="6">
        <v>5.5891999999999999</v>
      </c>
      <c r="E6" s="6">
        <v>2728.8346000000001</v>
      </c>
      <c r="F6" s="6">
        <v>52.073900000000002</v>
      </c>
      <c r="G6" s="6">
        <v>11.202370555209001</v>
      </c>
      <c r="H6" s="6">
        <v>76.976998589562797</v>
      </c>
      <c r="I6" s="6">
        <v>4.9310301222000001</v>
      </c>
      <c r="J6" s="2">
        <f t="shared" si="0"/>
        <v>0.14552880419434688</v>
      </c>
      <c r="L6" s="12" t="s">
        <v>84</v>
      </c>
      <c r="M6" s="13">
        <f>AVERAGE(G57:G61)</f>
        <v>0.76315159076731132</v>
      </c>
      <c r="N6" s="13">
        <f>AVERAGE(H57:H61)</f>
        <v>0.65080112834978909</v>
      </c>
      <c r="O6" s="13">
        <f>AVERAGE(J57:J61)</f>
        <v>229.29353838780844</v>
      </c>
    </row>
    <row r="7" spans="1:15" x14ac:dyDescent="0.25">
      <c r="A7" s="6" t="s">
        <v>14</v>
      </c>
      <c r="B7" s="6" t="s">
        <v>75</v>
      </c>
      <c r="C7" s="6">
        <v>356.31</v>
      </c>
      <c r="D7" s="6">
        <v>5.5449999999999999</v>
      </c>
      <c r="E7" s="6">
        <v>2720.3636999999999</v>
      </c>
      <c r="F7" s="6">
        <v>51.912300000000002</v>
      </c>
      <c r="G7" s="6">
        <v>11.113849033063</v>
      </c>
      <c r="H7" s="6">
        <v>76.738045133991506</v>
      </c>
      <c r="I7" s="6">
        <v>4.9157232059</v>
      </c>
      <c r="J7" s="2">
        <f t="shared" si="0"/>
        <v>0.14482840960643736</v>
      </c>
    </row>
    <row r="8" spans="1:15" x14ac:dyDescent="0.25">
      <c r="A8" s="6" t="s">
        <v>15</v>
      </c>
      <c r="B8" s="6" t="s">
        <v>75</v>
      </c>
      <c r="C8" s="6">
        <v>354.43450000000001</v>
      </c>
      <c r="D8" s="6">
        <v>5.5157999999999996</v>
      </c>
      <c r="E8" s="6">
        <v>2686.1217999999999</v>
      </c>
      <c r="F8" s="6">
        <v>51.258899999999997</v>
      </c>
      <c r="G8" s="6">
        <v>11.0553493449782</v>
      </c>
      <c r="H8" s="6">
        <v>75.772124118476697</v>
      </c>
      <c r="I8" s="6">
        <v>4.8538480925999998</v>
      </c>
      <c r="J8" s="2">
        <f t="shared" si="0"/>
        <v>0.14590259245856885</v>
      </c>
    </row>
    <row r="9" spans="1:15" x14ac:dyDescent="0.25">
      <c r="A9" s="6" t="s">
        <v>16</v>
      </c>
      <c r="B9" s="6" t="s">
        <v>75</v>
      </c>
      <c r="C9" s="6">
        <v>353.87220000000002</v>
      </c>
      <c r="D9" s="6">
        <v>5.5071000000000003</v>
      </c>
      <c r="E9" s="6">
        <v>2704.1107999999999</v>
      </c>
      <c r="F9" s="6">
        <v>51.6021</v>
      </c>
      <c r="G9" s="6">
        <v>11.0378103555833</v>
      </c>
      <c r="H9" s="6">
        <v>76.279571227080396</v>
      </c>
      <c r="I9" s="6">
        <v>4.8863542155999999</v>
      </c>
      <c r="J9" s="2">
        <f t="shared" si="0"/>
        <v>0.14470205033958963</v>
      </c>
    </row>
    <row r="10" spans="1:15" x14ac:dyDescent="0.25">
      <c r="A10" s="6" t="s">
        <v>17</v>
      </c>
      <c r="B10" s="6" t="s">
        <v>75</v>
      </c>
      <c r="C10" s="6">
        <v>354.94880000000001</v>
      </c>
      <c r="D10" s="6">
        <v>5.5237999999999996</v>
      </c>
      <c r="E10" s="6">
        <v>2647.5192999999999</v>
      </c>
      <c r="F10" s="6">
        <v>50.522199999999998</v>
      </c>
      <c r="G10" s="6">
        <v>11.071391141609499</v>
      </c>
      <c r="H10" s="6">
        <v>74.683196050775706</v>
      </c>
      <c r="I10" s="6">
        <v>4.7840933751000003</v>
      </c>
      <c r="J10" s="2">
        <f t="shared" si="0"/>
        <v>0.14824474215166511</v>
      </c>
    </row>
    <row r="11" spans="1:15" x14ac:dyDescent="0.25">
      <c r="A11" s="6" t="s">
        <v>18</v>
      </c>
      <c r="B11" s="6" t="s">
        <v>75</v>
      </c>
      <c r="C11" s="6">
        <v>346.59410000000003</v>
      </c>
      <c r="D11" s="6">
        <v>5.3937999999999997</v>
      </c>
      <c r="E11" s="6">
        <v>2639.7100999999998</v>
      </c>
      <c r="F11" s="6">
        <v>50.373199999999997</v>
      </c>
      <c r="G11" s="6">
        <v>10.8107953836556</v>
      </c>
      <c r="H11" s="6">
        <v>74.462908321579704</v>
      </c>
      <c r="I11" s="6">
        <v>4.7699821506999998</v>
      </c>
      <c r="J11" s="2">
        <f t="shared" si="0"/>
        <v>0.14518363071406629</v>
      </c>
    </row>
    <row r="12" spans="1:15" x14ac:dyDescent="0.25">
      <c r="A12" s="6" t="s">
        <v>20</v>
      </c>
      <c r="B12" s="6" t="s">
        <v>75</v>
      </c>
      <c r="C12" s="6">
        <v>355.1798</v>
      </c>
      <c r="D12" s="6">
        <v>5.5274000000000001</v>
      </c>
      <c r="E12" s="6">
        <v>2702.9288999999999</v>
      </c>
      <c r="F12" s="6">
        <v>51.579599999999999</v>
      </c>
      <c r="G12" s="6">
        <v>11.0785963817842</v>
      </c>
      <c r="H12" s="6">
        <v>76.246231311706595</v>
      </c>
      <c r="I12" s="6">
        <v>4.8842185223000003</v>
      </c>
      <c r="J12" s="2">
        <f t="shared" si="0"/>
        <v>0.14530024882794737</v>
      </c>
    </row>
    <row r="13" spans="1:15" x14ac:dyDescent="0.25">
      <c r="A13" s="6" t="s">
        <v>21</v>
      </c>
      <c r="B13" s="6" t="s">
        <v>75</v>
      </c>
      <c r="C13" s="6">
        <v>332.5324</v>
      </c>
      <c r="D13" s="6">
        <v>5.1749999999999998</v>
      </c>
      <c r="E13" s="6">
        <v>2565.2869000000001</v>
      </c>
      <c r="F13" s="6">
        <v>48.953000000000003</v>
      </c>
      <c r="G13" s="6">
        <v>10.3721896444167</v>
      </c>
      <c r="H13" s="6">
        <v>72.363523272214394</v>
      </c>
      <c r="I13" s="6">
        <v>4.6354994283000002</v>
      </c>
      <c r="J13" s="2">
        <f t="shared" si="0"/>
        <v>0.14333450301195239</v>
      </c>
    </row>
    <row r="14" spans="1:15" x14ac:dyDescent="0.25">
      <c r="A14" s="6" t="s">
        <v>22</v>
      </c>
      <c r="B14" s="6" t="s">
        <v>75</v>
      </c>
      <c r="C14" s="6">
        <v>345.22160000000002</v>
      </c>
      <c r="D14" s="6">
        <v>5.3723999999999998</v>
      </c>
      <c r="E14" s="6">
        <v>2619.2002000000002</v>
      </c>
      <c r="F14" s="6">
        <v>49.9818</v>
      </c>
      <c r="G14" s="6">
        <v>10.767985028072401</v>
      </c>
      <c r="H14" s="6">
        <v>73.884349788434406</v>
      </c>
      <c r="I14" s="6">
        <v>4.7329207614</v>
      </c>
      <c r="J14" s="2">
        <f t="shared" si="0"/>
        <v>0.14574108128319732</v>
      </c>
    </row>
    <row r="15" spans="1:15" x14ac:dyDescent="0.25">
      <c r="A15" s="6" t="s">
        <v>23</v>
      </c>
      <c r="B15" s="6" t="s">
        <v>75</v>
      </c>
      <c r="C15" s="6">
        <v>335.93619999999999</v>
      </c>
      <c r="D15" s="6">
        <v>5.2279</v>
      </c>
      <c r="E15" s="6">
        <v>2563.982</v>
      </c>
      <c r="F15" s="6">
        <v>48.928100000000001</v>
      </c>
      <c r="G15" s="6">
        <v>10.4783593262633</v>
      </c>
      <c r="H15" s="6">
        <v>72.326713681241202</v>
      </c>
      <c r="I15" s="6">
        <v>4.6331414740000003</v>
      </c>
      <c r="J15" s="2">
        <f t="shared" si="0"/>
        <v>0.14487536890509914</v>
      </c>
    </row>
    <row r="16" spans="1:15" x14ac:dyDescent="0.25">
      <c r="A16" s="6" t="s">
        <v>24</v>
      </c>
      <c r="B16" s="6" t="s">
        <v>75</v>
      </c>
      <c r="C16" s="6">
        <v>329.30790000000002</v>
      </c>
      <c r="D16" s="6">
        <v>5.1247999999999996</v>
      </c>
      <c r="E16" s="6">
        <v>2488.337</v>
      </c>
      <c r="F16" s="6">
        <v>47.4846</v>
      </c>
      <c r="G16" s="6">
        <v>10.2716126013724</v>
      </c>
      <c r="H16" s="6">
        <v>70.192863187588102</v>
      </c>
      <c r="I16" s="6">
        <v>4.4964509589999997</v>
      </c>
      <c r="J16" s="2">
        <f t="shared" si="0"/>
        <v>0.14633414473949946</v>
      </c>
    </row>
    <row r="17" spans="1:10" x14ac:dyDescent="0.25">
      <c r="A17" s="6" t="s">
        <v>25</v>
      </c>
      <c r="B17" s="6" t="s">
        <v>75</v>
      </c>
      <c r="C17" s="6">
        <v>323.15499999999997</v>
      </c>
      <c r="D17" s="6">
        <v>5.0289999999999999</v>
      </c>
      <c r="E17" s="6">
        <v>2445.4277999999999</v>
      </c>
      <c r="F17" s="6">
        <v>46.665700000000001</v>
      </c>
      <c r="G17" s="6">
        <v>10.0796943231441</v>
      </c>
      <c r="H17" s="6">
        <v>68.982448519040901</v>
      </c>
      <c r="I17" s="6">
        <v>4.4189140346000002</v>
      </c>
      <c r="J17" s="2">
        <f t="shared" si="0"/>
        <v>0.14611969478528802</v>
      </c>
    </row>
    <row r="18" spans="1:10" x14ac:dyDescent="0.25">
      <c r="A18" s="6" t="s">
        <v>26</v>
      </c>
      <c r="B18" s="6" t="s">
        <v>75</v>
      </c>
      <c r="C18" s="6">
        <v>312.31959999999998</v>
      </c>
      <c r="D18" s="6">
        <v>4.8604000000000003</v>
      </c>
      <c r="E18" s="6">
        <v>2384.4342999999999</v>
      </c>
      <c r="F18" s="6">
        <v>45.501800000000003</v>
      </c>
      <c r="G18" s="6">
        <v>9.7417217716780993</v>
      </c>
      <c r="H18" s="6">
        <v>67.261898448519005</v>
      </c>
      <c r="I18" s="6">
        <v>4.3086987801000003</v>
      </c>
      <c r="J18" s="2">
        <f t="shared" si="0"/>
        <v>0.14483269126181786</v>
      </c>
    </row>
    <row r="19" spans="1:10" x14ac:dyDescent="0.25">
      <c r="A19" s="6" t="s">
        <v>27</v>
      </c>
      <c r="B19" s="6" t="s">
        <v>75</v>
      </c>
      <c r="C19" s="6">
        <v>327.1936</v>
      </c>
      <c r="D19" s="6">
        <v>5.0918999999999999</v>
      </c>
      <c r="E19" s="6">
        <v>2477.0137</v>
      </c>
      <c r="F19" s="6">
        <v>47.268500000000003</v>
      </c>
      <c r="G19" s="6">
        <v>10.2056643792888</v>
      </c>
      <c r="H19" s="6">
        <v>69.873447108603699</v>
      </c>
      <c r="I19" s="6">
        <v>4.4759897558999997</v>
      </c>
      <c r="J19" s="2">
        <f t="shared" si="0"/>
        <v>0.14605926573833153</v>
      </c>
    </row>
    <row r="20" spans="1:10" x14ac:dyDescent="0.25">
      <c r="A20" s="6" t="s">
        <v>28</v>
      </c>
      <c r="B20" s="6" t="s">
        <v>75</v>
      </c>
      <c r="C20" s="6">
        <v>321.56259999999997</v>
      </c>
      <c r="D20" s="6">
        <v>5.0042999999999997</v>
      </c>
      <c r="E20" s="6">
        <v>2457.7788999999998</v>
      </c>
      <c r="F20" s="6">
        <v>46.901400000000002</v>
      </c>
      <c r="G20" s="6">
        <v>10.030024953212701</v>
      </c>
      <c r="H20" s="6">
        <v>69.330857545839194</v>
      </c>
      <c r="I20" s="6">
        <v>4.4412324723000003</v>
      </c>
      <c r="J20" s="2">
        <f t="shared" si="0"/>
        <v>0.14466898734926495</v>
      </c>
    </row>
    <row r="21" spans="1:10" x14ac:dyDescent="0.25">
      <c r="A21" s="6" t="s">
        <v>29</v>
      </c>
      <c r="B21" s="6" t="s">
        <v>75</v>
      </c>
      <c r="C21" s="6">
        <v>364.04629999999997</v>
      </c>
      <c r="D21" s="6">
        <v>5.6654</v>
      </c>
      <c r="E21" s="6">
        <v>2679.6289000000002</v>
      </c>
      <c r="F21" s="6">
        <v>51.134999999999998</v>
      </c>
      <c r="G21" s="6">
        <v>11.3551559575795</v>
      </c>
      <c r="H21" s="6">
        <v>75.588967559943598</v>
      </c>
      <c r="I21" s="6">
        <v>4.8421154223</v>
      </c>
      <c r="J21" s="2">
        <f t="shared" si="0"/>
        <v>0.15022239784628133</v>
      </c>
    </row>
    <row r="22" spans="1:10" x14ac:dyDescent="0.25">
      <c r="A22" s="6" t="s">
        <v>31</v>
      </c>
      <c r="B22" s="6" t="s">
        <v>75</v>
      </c>
      <c r="C22" s="6">
        <v>375.7586</v>
      </c>
      <c r="D22" s="6">
        <v>5.8476999999999997</v>
      </c>
      <c r="E22" s="6">
        <v>2761.9259000000002</v>
      </c>
      <c r="F22" s="6">
        <v>52.705399999999997</v>
      </c>
      <c r="G22" s="6">
        <v>11.720480349344999</v>
      </c>
      <c r="H22" s="6">
        <v>77.910462623413295</v>
      </c>
      <c r="I22" s="6">
        <v>4.9908261012999997</v>
      </c>
      <c r="J22" s="2">
        <f t="shared" si="0"/>
        <v>0.15043525548034437</v>
      </c>
    </row>
    <row r="23" spans="1:10" x14ac:dyDescent="0.25">
      <c r="A23" s="6" t="s">
        <v>32</v>
      </c>
      <c r="B23" s="6" t="s">
        <v>75</v>
      </c>
      <c r="C23" s="6">
        <v>372.30700000000002</v>
      </c>
      <c r="D23" s="6">
        <v>5.7939999999999996</v>
      </c>
      <c r="E23" s="6">
        <v>2752.0335</v>
      </c>
      <c r="F23" s="6">
        <v>52.5167</v>
      </c>
      <c r="G23" s="6">
        <v>11.6128197130381</v>
      </c>
      <c r="H23" s="6">
        <v>77.631410437235502</v>
      </c>
      <c r="I23" s="6">
        <v>4.9729505344999998</v>
      </c>
      <c r="J23" s="2">
        <f t="shared" si="0"/>
        <v>0.14958918880427904</v>
      </c>
    </row>
    <row r="24" spans="1:10" x14ac:dyDescent="0.25">
      <c r="A24" s="6" t="s">
        <v>33</v>
      </c>
      <c r="B24" s="6" t="s">
        <v>75</v>
      </c>
      <c r="C24" s="6">
        <v>378.2833</v>
      </c>
      <c r="D24" s="6">
        <v>5.8869999999999996</v>
      </c>
      <c r="E24" s="6">
        <v>2829.6293000000001</v>
      </c>
      <c r="F24" s="6">
        <v>53.997399999999999</v>
      </c>
      <c r="G24" s="6">
        <v>11.799229569557101</v>
      </c>
      <c r="H24" s="6">
        <v>79.820290550070496</v>
      </c>
      <c r="I24" s="6">
        <v>5.1131661451000001</v>
      </c>
      <c r="J24" s="2">
        <f t="shared" si="0"/>
        <v>0.14782243322148217</v>
      </c>
    </row>
    <row r="25" spans="1:10" x14ac:dyDescent="0.25">
      <c r="A25" s="6" t="s">
        <v>34</v>
      </c>
      <c r="B25" s="6" t="s">
        <v>75</v>
      </c>
      <c r="C25" s="6">
        <v>358.57139999999998</v>
      </c>
      <c r="D25" s="6">
        <v>5.5801999999999996</v>
      </c>
      <c r="E25" s="6">
        <v>2705.1993000000002</v>
      </c>
      <c r="F25" s="6">
        <v>51.622900000000001</v>
      </c>
      <c r="G25" s="6">
        <v>11.1843855271366</v>
      </c>
      <c r="H25" s="6">
        <v>76.310276445698193</v>
      </c>
      <c r="I25" s="6">
        <v>4.8883211351</v>
      </c>
      <c r="J25" s="2">
        <f t="shared" si="0"/>
        <v>0.14656460503187041</v>
      </c>
    </row>
    <row r="26" spans="1:10" x14ac:dyDescent="0.25">
      <c r="A26" s="6" t="s">
        <v>35</v>
      </c>
      <c r="B26" s="6" t="s">
        <v>75</v>
      </c>
      <c r="C26" s="6">
        <v>363.84989999999999</v>
      </c>
      <c r="D26" s="6">
        <v>5.6623000000000001</v>
      </c>
      <c r="E26" s="6">
        <v>2779.2105999999999</v>
      </c>
      <c r="F26" s="6">
        <v>53.035299999999999</v>
      </c>
      <c r="G26" s="6">
        <v>11.3490299438553</v>
      </c>
      <c r="H26" s="6">
        <v>78.398042313117102</v>
      </c>
      <c r="I26" s="6">
        <v>5.0220595542000002</v>
      </c>
      <c r="J26" s="2">
        <f t="shared" si="0"/>
        <v>0.14476164976834435</v>
      </c>
    </row>
    <row r="27" spans="1:10" x14ac:dyDescent="0.25">
      <c r="A27" s="6" t="s">
        <v>36</v>
      </c>
      <c r="B27" s="6" t="s">
        <v>75</v>
      </c>
      <c r="C27" s="6">
        <v>352.57080000000002</v>
      </c>
      <c r="D27" s="6">
        <v>5.4867999999999997</v>
      </c>
      <c r="E27" s="6">
        <v>2637.7845000000002</v>
      </c>
      <c r="F27" s="6">
        <v>50.336500000000001</v>
      </c>
      <c r="G27" s="6">
        <v>10.997217716781</v>
      </c>
      <c r="H27" s="6">
        <v>74.408589562764504</v>
      </c>
      <c r="I27" s="6">
        <v>4.7665025915000001</v>
      </c>
      <c r="J27" s="2">
        <f t="shared" si="0"/>
        <v>0.14779500298826012</v>
      </c>
    </row>
    <row r="28" spans="1:10" x14ac:dyDescent="0.25">
      <c r="A28" s="6" t="s">
        <v>37</v>
      </c>
      <c r="B28" s="6" t="s">
        <v>75</v>
      </c>
      <c r="C28" s="6">
        <v>337.67669999999998</v>
      </c>
      <c r="D28" s="6">
        <v>5.2549999999999999</v>
      </c>
      <c r="E28" s="6">
        <v>2572.9636</v>
      </c>
      <c r="F28" s="6">
        <v>49.099499999999999</v>
      </c>
      <c r="G28" s="6">
        <v>10.532648159700599</v>
      </c>
      <c r="H28" s="6">
        <v>72.580073342736199</v>
      </c>
      <c r="I28" s="6">
        <v>4.6493712252000003</v>
      </c>
      <c r="J28" s="2">
        <f t="shared" si="0"/>
        <v>0.14511762904900269</v>
      </c>
    </row>
    <row r="29" spans="1:10" x14ac:dyDescent="0.25">
      <c r="A29" s="6" t="s">
        <v>38</v>
      </c>
      <c r="B29" s="6" t="s">
        <v>75</v>
      </c>
      <c r="C29" s="6">
        <v>337.21350000000001</v>
      </c>
      <c r="D29" s="6">
        <v>5.2477999999999998</v>
      </c>
      <c r="E29" s="6">
        <v>2574.6752000000001</v>
      </c>
      <c r="F29" s="6">
        <v>49.132100000000001</v>
      </c>
      <c r="G29" s="6">
        <v>10.5182002495321</v>
      </c>
      <c r="H29" s="6">
        <v>72.628355430183404</v>
      </c>
      <c r="I29" s="6">
        <v>4.6524640864000002</v>
      </c>
      <c r="J29" s="2">
        <f t="shared" si="0"/>
        <v>0.14482222800216227</v>
      </c>
    </row>
    <row r="30" spans="1:10" x14ac:dyDescent="0.25">
      <c r="A30" s="6" t="s">
        <v>39</v>
      </c>
      <c r="B30" s="6" t="s">
        <v>75</v>
      </c>
      <c r="C30" s="6">
        <v>320.89800000000002</v>
      </c>
      <c r="D30" s="6">
        <v>4.9939</v>
      </c>
      <c r="E30" s="6">
        <v>2467.5171</v>
      </c>
      <c r="F30" s="6">
        <v>47.087299999999999</v>
      </c>
      <c r="G30" s="6">
        <v>10.0092950717405</v>
      </c>
      <c r="H30" s="6">
        <v>69.605559943582506</v>
      </c>
      <c r="I30" s="6">
        <v>4.4588293996999999</v>
      </c>
      <c r="J30" s="2">
        <f t="shared" si="0"/>
        <v>0.14380022342832022</v>
      </c>
    </row>
    <row r="31" spans="1:10" x14ac:dyDescent="0.25">
      <c r="A31" s="6" t="s">
        <v>40</v>
      </c>
      <c r="B31" s="6" t="s">
        <v>75</v>
      </c>
      <c r="C31" s="6">
        <v>343.39519999999999</v>
      </c>
      <c r="D31" s="6">
        <v>5.3440000000000003</v>
      </c>
      <c r="E31" s="6">
        <v>2578.7538</v>
      </c>
      <c r="F31" s="6">
        <v>49.21</v>
      </c>
      <c r="G31" s="6">
        <v>10.7110168434186</v>
      </c>
      <c r="H31" s="6">
        <v>72.743407616361097</v>
      </c>
      <c r="I31" s="6">
        <v>4.6598341165999999</v>
      </c>
      <c r="J31" s="2">
        <f t="shared" si="0"/>
        <v>0.14724381486095697</v>
      </c>
    </row>
    <row r="32" spans="1:10" x14ac:dyDescent="0.25">
      <c r="A32" s="6" t="s">
        <v>42</v>
      </c>
      <c r="B32" s="6" t="s">
        <v>75</v>
      </c>
      <c r="C32" s="6">
        <v>368.8938</v>
      </c>
      <c r="D32" s="6">
        <v>5.7408000000000001</v>
      </c>
      <c r="E32" s="6">
        <v>2654.7208999999998</v>
      </c>
      <c r="F32" s="6">
        <v>50.659599999999998</v>
      </c>
      <c r="G32" s="6">
        <v>11.506356830942</v>
      </c>
      <c r="H32" s="6">
        <v>74.886344146685502</v>
      </c>
      <c r="I32" s="6">
        <v>4.7971066663000004</v>
      </c>
      <c r="J32" s="2">
        <f t="shared" si="0"/>
        <v>0.15365093545498276</v>
      </c>
    </row>
    <row r="33" spans="1:10" x14ac:dyDescent="0.25">
      <c r="A33" s="6" t="s">
        <v>43</v>
      </c>
      <c r="B33" s="6" t="s">
        <v>75</v>
      </c>
      <c r="C33" s="6">
        <v>373.411</v>
      </c>
      <c r="D33" s="6">
        <v>5.8110999999999997</v>
      </c>
      <c r="E33" s="6">
        <v>2798.7215000000001</v>
      </c>
      <c r="F33" s="6">
        <v>53.407600000000002</v>
      </c>
      <c r="G33" s="6">
        <v>11.6472551466001</v>
      </c>
      <c r="H33" s="6">
        <v>78.9484203102962</v>
      </c>
      <c r="I33" s="6">
        <v>5.0573157504999999</v>
      </c>
      <c r="J33" s="2">
        <f t="shared" si="0"/>
        <v>0.1475299328450414</v>
      </c>
    </row>
    <row r="34" spans="1:10" x14ac:dyDescent="0.25">
      <c r="A34" s="6" t="s">
        <v>51</v>
      </c>
      <c r="B34" s="6" t="s">
        <v>75</v>
      </c>
      <c r="C34" s="6">
        <v>264.9264</v>
      </c>
      <c r="D34" s="6">
        <v>4.1228999999999996</v>
      </c>
      <c r="E34" s="6">
        <v>2021.2260000000001</v>
      </c>
      <c r="F34" s="6">
        <v>38.570799999999998</v>
      </c>
      <c r="G34" s="6">
        <v>8.26345601996257</v>
      </c>
      <c r="H34" s="6">
        <v>57.016248236953501</v>
      </c>
      <c r="I34" s="6">
        <v>3.6523813820000002</v>
      </c>
      <c r="J34" s="2">
        <f t="shared" si="0"/>
        <v>0.14493159889476628</v>
      </c>
    </row>
    <row r="35" spans="1:10" x14ac:dyDescent="0.25">
      <c r="A35" s="6" t="s">
        <v>53</v>
      </c>
      <c r="B35" s="6" t="s">
        <v>75</v>
      </c>
      <c r="C35" s="6">
        <v>249.02430000000001</v>
      </c>
      <c r="D35" s="6">
        <v>3.8754</v>
      </c>
      <c r="E35" s="6">
        <v>1888.0516</v>
      </c>
      <c r="F35" s="6">
        <v>36.029400000000003</v>
      </c>
      <c r="G35" s="6">
        <v>7.7674454148471597</v>
      </c>
      <c r="H35" s="6">
        <v>53.259565585331501</v>
      </c>
      <c r="I35" s="6">
        <v>3.4117352412000002</v>
      </c>
      <c r="J35" s="2">
        <f t="shared" si="0"/>
        <v>0.14584132126279364</v>
      </c>
    </row>
    <row r="36" spans="1:10" x14ac:dyDescent="0.25">
      <c r="A36" s="6" t="s">
        <v>54</v>
      </c>
      <c r="B36" s="6" t="s">
        <v>75</v>
      </c>
      <c r="C36" s="6">
        <v>189.52500000000001</v>
      </c>
      <c r="D36" s="6">
        <v>2.9493999999999998</v>
      </c>
      <c r="E36" s="6">
        <v>1366.7799</v>
      </c>
      <c r="F36" s="6">
        <v>26.082100000000001</v>
      </c>
      <c r="G36" s="6">
        <v>5.9115720524017501</v>
      </c>
      <c r="H36" s="6">
        <v>38.555145275035301</v>
      </c>
      <c r="I36" s="6">
        <v>2.4697972792999998</v>
      </c>
      <c r="J36" s="2">
        <f t="shared" si="0"/>
        <v>0.15332770789037931</v>
      </c>
    </row>
    <row r="37" spans="1:10" x14ac:dyDescent="0.25">
      <c r="A37" s="6" t="s">
        <v>55</v>
      </c>
      <c r="B37" s="6" t="s">
        <v>75</v>
      </c>
      <c r="C37" s="6">
        <v>298.255</v>
      </c>
      <c r="D37" s="6">
        <v>4.6414999999999997</v>
      </c>
      <c r="E37" s="6">
        <v>2251.7022000000002</v>
      </c>
      <c r="F37" s="6">
        <v>42.968899999999998</v>
      </c>
      <c r="G37" s="6">
        <v>9.3030255770430408</v>
      </c>
      <c r="H37" s="6">
        <v>63.517692524682701</v>
      </c>
      <c r="I37" s="6">
        <v>4.0688518754</v>
      </c>
      <c r="J37" s="2">
        <f t="shared" si="0"/>
        <v>0.14646353176995411</v>
      </c>
    </row>
    <row r="38" spans="1:10" x14ac:dyDescent="0.25">
      <c r="A38" s="6" t="s">
        <v>56</v>
      </c>
      <c r="B38" s="6" t="s">
        <v>75</v>
      </c>
      <c r="C38" s="6">
        <v>311.46690000000001</v>
      </c>
      <c r="D38" s="6">
        <v>4.8471000000000002</v>
      </c>
      <c r="E38" s="6">
        <v>2348.9104000000002</v>
      </c>
      <c r="F38" s="6">
        <v>44.823900000000002</v>
      </c>
      <c r="G38" s="6">
        <v>9.7151247660636297</v>
      </c>
      <c r="H38" s="6">
        <v>66.259813822284897</v>
      </c>
      <c r="I38" s="6">
        <v>4.2445070928000002</v>
      </c>
      <c r="J38" s="2">
        <f t="shared" si="0"/>
        <v>0.14662167316256752</v>
      </c>
    </row>
    <row r="39" spans="1:10" x14ac:dyDescent="0.25">
      <c r="A39" s="6" t="s">
        <v>57</v>
      </c>
      <c r="B39" s="6" t="s">
        <v>75</v>
      </c>
      <c r="C39" s="6">
        <v>285.72320000000002</v>
      </c>
      <c r="D39" s="6">
        <v>4.4465000000000003</v>
      </c>
      <c r="E39" s="6">
        <v>2194.4627</v>
      </c>
      <c r="F39" s="6">
        <v>41.876600000000003</v>
      </c>
      <c r="G39" s="6">
        <v>8.9121397379912697</v>
      </c>
      <c r="H39" s="6">
        <v>61.903038081805398</v>
      </c>
      <c r="I39" s="6">
        <v>3.9654200989000001</v>
      </c>
      <c r="J39" s="2">
        <f t="shared" si="0"/>
        <v>0.14396934325281097</v>
      </c>
    </row>
    <row r="40" spans="1:10" x14ac:dyDescent="0.25">
      <c r="A40" s="6" t="s">
        <v>58</v>
      </c>
      <c r="B40" s="6" t="s">
        <v>75</v>
      </c>
      <c r="C40" s="6">
        <v>291.0752</v>
      </c>
      <c r="D40" s="6">
        <v>4.5297999999999998</v>
      </c>
      <c r="E40" s="6">
        <v>2265.0037000000002</v>
      </c>
      <c r="F40" s="6">
        <v>43.222700000000003</v>
      </c>
      <c r="G40" s="6">
        <v>9.0790767311291294</v>
      </c>
      <c r="H40" s="6">
        <v>63.892911142454203</v>
      </c>
      <c r="I40" s="6">
        <v>4.0928876859000001</v>
      </c>
      <c r="J40" s="2">
        <f t="shared" si="0"/>
        <v>0.14209834187843817</v>
      </c>
    </row>
    <row r="41" spans="1:10" x14ac:dyDescent="0.25">
      <c r="A41" s="6" t="s">
        <v>59</v>
      </c>
      <c r="B41" s="6" t="s">
        <v>75</v>
      </c>
      <c r="C41" s="6">
        <v>286.05419999999998</v>
      </c>
      <c r="D41" s="6">
        <v>4.4516999999999998</v>
      </c>
      <c r="E41" s="6">
        <v>2237.1639</v>
      </c>
      <c r="F41" s="6">
        <v>42.691499999999998</v>
      </c>
      <c r="G41" s="6">
        <v>8.9224641297566993</v>
      </c>
      <c r="H41" s="6">
        <v>63.107585331452697</v>
      </c>
      <c r="I41" s="6">
        <v>4.0425811672999998</v>
      </c>
      <c r="J41" s="2">
        <f t="shared" si="0"/>
        <v>0.14138497112342788</v>
      </c>
    </row>
    <row r="42" spans="1:10" x14ac:dyDescent="0.25">
      <c r="A42" s="6" t="s">
        <v>60</v>
      </c>
      <c r="B42" s="6" t="s">
        <v>75</v>
      </c>
      <c r="C42" s="6">
        <v>281.30070000000001</v>
      </c>
      <c r="D42" s="6">
        <v>4.3776999999999999</v>
      </c>
      <c r="E42" s="6">
        <v>2196.1244000000002</v>
      </c>
      <c r="F42" s="6">
        <v>41.908299999999997</v>
      </c>
      <c r="G42" s="6">
        <v>8.7741952588895806</v>
      </c>
      <c r="H42" s="6">
        <v>61.949912552891398</v>
      </c>
      <c r="I42" s="6">
        <v>3.9684227908</v>
      </c>
      <c r="J42" s="2">
        <f t="shared" si="0"/>
        <v>0.14163369885951616</v>
      </c>
    </row>
    <row r="43" spans="1:10" x14ac:dyDescent="0.25">
      <c r="A43" s="6" t="s">
        <v>61</v>
      </c>
      <c r="B43" s="6" t="s">
        <v>75</v>
      </c>
      <c r="C43" s="6">
        <v>343.66770000000002</v>
      </c>
      <c r="D43" s="6">
        <v>5.3483000000000001</v>
      </c>
      <c r="E43" s="6">
        <v>2598.8195000000001</v>
      </c>
      <c r="F43" s="6">
        <v>49.5929</v>
      </c>
      <c r="G43" s="6">
        <v>10.7195165315034</v>
      </c>
      <c r="H43" s="6">
        <v>73.309435825105794</v>
      </c>
      <c r="I43" s="6">
        <v>4.6960928365000001</v>
      </c>
      <c r="J43" s="2">
        <f t="shared" si="0"/>
        <v>0.1462228758256568</v>
      </c>
    </row>
    <row r="44" spans="1:10" x14ac:dyDescent="0.25">
      <c r="A44" s="6" t="s">
        <v>62</v>
      </c>
      <c r="B44" s="6" t="s">
        <v>75</v>
      </c>
      <c r="C44" s="6">
        <v>447.27809999999999</v>
      </c>
      <c r="D44" s="6">
        <v>6.9607000000000001</v>
      </c>
      <c r="E44" s="6">
        <v>3274.4919</v>
      </c>
      <c r="F44" s="6">
        <v>62.486600000000003</v>
      </c>
      <c r="G44" s="6">
        <v>13.9512819713038</v>
      </c>
      <c r="H44" s="6">
        <v>92.369306064880107</v>
      </c>
      <c r="I44" s="6">
        <v>5.9170328633000002</v>
      </c>
      <c r="J44" s="2">
        <f t="shared" si="0"/>
        <v>0.15103807277175421</v>
      </c>
    </row>
    <row r="45" spans="1:10" x14ac:dyDescent="0.25">
      <c r="A45" s="6" t="s">
        <v>64</v>
      </c>
      <c r="B45" s="6" t="s">
        <v>75</v>
      </c>
      <c r="C45" s="6">
        <v>454.16050000000001</v>
      </c>
      <c r="D45" s="6">
        <v>7.0678000000000001</v>
      </c>
      <c r="E45" s="6">
        <v>3350.5279</v>
      </c>
      <c r="F45" s="6">
        <v>63.937600000000003</v>
      </c>
      <c r="G45" s="6">
        <v>14.1659544603868</v>
      </c>
      <c r="H45" s="6">
        <v>94.514186177715104</v>
      </c>
      <c r="I45" s="6">
        <v>6.0544299153000001</v>
      </c>
      <c r="J45" s="2">
        <f t="shared" si="0"/>
        <v>0.14988178000867028</v>
      </c>
    </row>
    <row r="46" spans="1:10" x14ac:dyDescent="0.25">
      <c r="A46" s="6" t="s">
        <v>72</v>
      </c>
      <c r="B46" s="6" t="s">
        <v>75</v>
      </c>
      <c r="C46" s="6">
        <v>305.5881</v>
      </c>
      <c r="D46" s="6">
        <v>4.7557</v>
      </c>
      <c r="E46" s="6">
        <v>2391.5428999999999</v>
      </c>
      <c r="F46" s="6">
        <v>45.637500000000003</v>
      </c>
      <c r="G46" s="6">
        <v>9.5317560823456002</v>
      </c>
      <c r="H46" s="6">
        <v>67.462423131170695</v>
      </c>
      <c r="I46" s="6">
        <v>4.3215440203000002</v>
      </c>
      <c r="J46" s="2">
        <f t="shared" si="0"/>
        <v>0.14128985648518008</v>
      </c>
    </row>
    <row r="47" spans="1:10" x14ac:dyDescent="0.25">
      <c r="A47" s="6" t="s">
        <v>73</v>
      </c>
      <c r="B47" s="6" t="s">
        <v>75</v>
      </c>
      <c r="C47" s="6">
        <v>301.6807</v>
      </c>
      <c r="D47" s="6">
        <v>4.6947999999999999</v>
      </c>
      <c r="E47" s="6">
        <v>2408.2260999999999</v>
      </c>
      <c r="F47" s="6">
        <v>45.955800000000004</v>
      </c>
      <c r="G47" s="6">
        <v>9.4098783530879597</v>
      </c>
      <c r="H47" s="6">
        <v>67.933035260930893</v>
      </c>
      <c r="I47" s="6">
        <v>4.3516905627</v>
      </c>
      <c r="J47" s="2">
        <f t="shared" si="0"/>
        <v>0.13851697214682962</v>
      </c>
    </row>
    <row r="48" spans="1:10" x14ac:dyDescent="0.25">
      <c r="A48" s="4" t="s">
        <v>8</v>
      </c>
      <c r="B48" s="4" t="s">
        <v>74</v>
      </c>
      <c r="C48" s="4">
        <v>335.9606</v>
      </c>
      <c r="D48" s="4">
        <v>5.2282999999999999</v>
      </c>
      <c r="E48" s="4">
        <v>3611.37</v>
      </c>
      <c r="F48" s="4">
        <v>68.915199999999999</v>
      </c>
      <c r="G48" s="4">
        <v>10.4791203992514</v>
      </c>
      <c r="H48" s="4">
        <v>101.87221438646</v>
      </c>
      <c r="I48" s="4">
        <v>6.5257715899999997</v>
      </c>
      <c r="J48" s="4">
        <f t="shared" si="0"/>
        <v>0.10286534421935759</v>
      </c>
    </row>
    <row r="49" spans="1:10" x14ac:dyDescent="0.25">
      <c r="A49" s="4" t="s">
        <v>19</v>
      </c>
      <c r="B49" s="4" t="s">
        <v>74</v>
      </c>
      <c r="C49" s="4">
        <v>527.30769999999995</v>
      </c>
      <c r="D49" s="4">
        <v>8.2060999999999993</v>
      </c>
      <c r="E49" s="4">
        <v>4992.2626</v>
      </c>
      <c r="F49" s="4">
        <v>95.266599999999997</v>
      </c>
      <c r="G49" s="4">
        <v>16.4475265127885</v>
      </c>
      <c r="H49" s="4">
        <v>140.82546121297599</v>
      </c>
      <c r="I49" s="4">
        <v>9.0210445182000001</v>
      </c>
      <c r="J49" s="4">
        <f t="shared" si="0"/>
        <v>0.11679369888882697</v>
      </c>
    </row>
    <row r="50" spans="1:10" x14ac:dyDescent="0.25">
      <c r="A50" s="4" t="s">
        <v>30</v>
      </c>
      <c r="B50" s="4" t="s">
        <v>74</v>
      </c>
      <c r="C50" s="4">
        <v>397.71960000000001</v>
      </c>
      <c r="D50" s="4">
        <v>6.1894</v>
      </c>
      <c r="E50" s="4">
        <v>2986.0047</v>
      </c>
      <c r="F50" s="4">
        <v>56.981499999999997</v>
      </c>
      <c r="G50" s="4">
        <v>12.4054772301934</v>
      </c>
      <c r="H50" s="4">
        <v>84.231444287729204</v>
      </c>
      <c r="I50" s="4">
        <v>5.3957364929000002</v>
      </c>
      <c r="J50" s="4">
        <f t="shared" si="0"/>
        <v>0.14727845800455572</v>
      </c>
    </row>
    <row r="51" spans="1:10" x14ac:dyDescent="0.25">
      <c r="A51" s="4" t="s">
        <v>46</v>
      </c>
      <c r="B51" s="4" t="s">
        <v>74</v>
      </c>
      <c r="C51" s="4">
        <v>569.25080000000003</v>
      </c>
      <c r="D51" s="4">
        <v>8.8588000000000005</v>
      </c>
      <c r="E51" s="4">
        <v>4514.7797</v>
      </c>
      <c r="F51" s="4">
        <v>86.154899999999998</v>
      </c>
      <c r="G51" s="4">
        <v>17.755795383655599</v>
      </c>
      <c r="H51" s="4">
        <v>127.356267983075</v>
      </c>
      <c r="I51" s="4">
        <v>8.1582329178999995</v>
      </c>
      <c r="J51" s="4">
        <f t="shared" si="0"/>
        <v>0.13941830790782322</v>
      </c>
    </row>
    <row r="52" spans="1:10" x14ac:dyDescent="0.25">
      <c r="A52" s="4" t="s">
        <v>52</v>
      </c>
      <c r="B52" s="4" t="s">
        <v>74</v>
      </c>
      <c r="C52" s="4">
        <v>0.6018</v>
      </c>
      <c r="D52" s="4">
        <v>9.4000000000000004E-3</v>
      </c>
      <c r="E52" s="4">
        <v>2719.5106999999998</v>
      </c>
      <c r="F52" s="4">
        <v>51.896000000000001</v>
      </c>
      <c r="G52" s="4">
        <v>1.8771054273237699E-2</v>
      </c>
      <c r="H52" s="4">
        <v>76.713983074753202</v>
      </c>
      <c r="I52" s="4">
        <v>4.9141818348999999</v>
      </c>
      <c r="J52" s="4">
        <f t="shared" si="0"/>
        <v>2.4468882361311397E-4</v>
      </c>
    </row>
    <row r="53" spans="1:10" x14ac:dyDescent="0.25">
      <c r="A53" s="4" t="s">
        <v>47</v>
      </c>
      <c r="B53" s="4" t="s">
        <v>74</v>
      </c>
      <c r="C53" s="4">
        <v>473.51909999999998</v>
      </c>
      <c r="D53" s="4">
        <v>7.3689999999999998</v>
      </c>
      <c r="E53" s="4">
        <v>3531.7161999999998</v>
      </c>
      <c r="F53" s="4">
        <v>67.395200000000003</v>
      </c>
      <c r="G53" s="4">
        <v>14.7697785402371</v>
      </c>
      <c r="H53" s="4">
        <v>99.625280677009897</v>
      </c>
      <c r="I53" s="4">
        <v>6.3818371734000001</v>
      </c>
      <c r="J53" s="4">
        <f t="shared" si="0"/>
        <v>0.14825331923652446</v>
      </c>
    </row>
    <row r="54" spans="1:10" x14ac:dyDescent="0.25">
      <c r="A54" s="4" t="s">
        <v>41</v>
      </c>
      <c r="B54" s="4" t="s">
        <v>74</v>
      </c>
      <c r="C54" s="4">
        <v>584.71870000000001</v>
      </c>
      <c r="D54" s="4">
        <v>9.0996000000000006</v>
      </c>
      <c r="E54" s="4">
        <v>4530.4808000000003</v>
      </c>
      <c r="F54" s="4">
        <v>86.454499999999996</v>
      </c>
      <c r="G54" s="4">
        <v>18.238262632563899</v>
      </c>
      <c r="H54" s="4">
        <v>127.799176304654</v>
      </c>
      <c r="I54" s="4">
        <v>8.1866048056</v>
      </c>
      <c r="J54" s="4">
        <f t="shared" si="0"/>
        <v>0.14271033006571676</v>
      </c>
    </row>
    <row r="55" spans="1:10" x14ac:dyDescent="0.25">
      <c r="A55" s="4" t="s">
        <v>44</v>
      </c>
      <c r="B55" s="4" t="s">
        <v>74</v>
      </c>
      <c r="C55" s="4">
        <v>364.07409999999999</v>
      </c>
      <c r="D55" s="4">
        <v>5.6657999999999999</v>
      </c>
      <c r="E55" s="4">
        <v>3703.002</v>
      </c>
      <c r="F55" s="4">
        <v>70.663799999999995</v>
      </c>
      <c r="G55" s="4">
        <v>11.3560230817218</v>
      </c>
      <c r="H55" s="4">
        <v>104.457038081805</v>
      </c>
      <c r="I55" s="4">
        <v>6.6913506140000001</v>
      </c>
      <c r="J55" s="4">
        <f t="shared" si="0"/>
        <v>0.1087147720274089</v>
      </c>
    </row>
    <row r="56" spans="1:10" x14ac:dyDescent="0.25">
      <c r="A56" s="4" t="s">
        <v>45</v>
      </c>
      <c r="B56" s="4" t="s">
        <v>74</v>
      </c>
      <c r="C56" s="4">
        <v>586.94910000000004</v>
      </c>
      <c r="D56" s="4">
        <v>9.1342999999999996</v>
      </c>
      <c r="E56" s="4">
        <v>5971.0805</v>
      </c>
      <c r="F56" s="4">
        <v>113.9453</v>
      </c>
      <c r="G56" s="4">
        <v>18.307832189644401</v>
      </c>
      <c r="H56" s="4">
        <v>168.43668547249601</v>
      </c>
      <c r="I56" s="4">
        <v>10.7897684635</v>
      </c>
      <c r="J56" s="4">
        <f t="shared" si="0"/>
        <v>0.10869266477363616</v>
      </c>
    </row>
    <row r="57" spans="1:10" x14ac:dyDescent="0.25">
      <c r="A57" s="5" t="s">
        <v>48</v>
      </c>
      <c r="B57" s="5" t="s">
        <v>79</v>
      </c>
      <c r="C57" s="5">
        <v>26.3858</v>
      </c>
      <c r="D57" s="5">
        <v>0.82120000000000004</v>
      </c>
      <c r="E57" s="5">
        <v>5.9900000000000002E-2</v>
      </c>
      <c r="F57" s="5">
        <v>2.3E-3</v>
      </c>
      <c r="G57" s="5">
        <v>0.82301310043668097</v>
      </c>
      <c r="H57" s="5">
        <v>1.6897038081805399E-3</v>
      </c>
      <c r="I57" s="5">
        <v>1.3423929999999999E-4</v>
      </c>
      <c r="J57" s="5">
        <f t="shared" si="0"/>
        <v>487.07536578431171</v>
      </c>
    </row>
    <row r="58" spans="1:10" x14ac:dyDescent="0.25">
      <c r="A58" s="5" t="s">
        <v>49</v>
      </c>
      <c r="B58" s="5" t="s">
        <v>79</v>
      </c>
      <c r="C58" s="5">
        <v>28.035399999999999</v>
      </c>
      <c r="D58" s="5">
        <v>0.87260000000000004</v>
      </c>
      <c r="E58" s="5">
        <v>0.51590000000000003</v>
      </c>
      <c r="F58" s="5">
        <v>1.9699999999999999E-2</v>
      </c>
      <c r="G58" s="5">
        <v>0.87446662507797901</v>
      </c>
      <c r="H58" s="5">
        <v>1.4552891396332901E-2</v>
      </c>
      <c r="I58" s="5">
        <v>9.5823130000000003E-4</v>
      </c>
      <c r="J58" s="5">
        <f t="shared" si="0"/>
        <v>60.088858032592121</v>
      </c>
    </row>
    <row r="59" spans="1:10" x14ac:dyDescent="0.25">
      <c r="A59" s="5" t="s">
        <v>50</v>
      </c>
      <c r="B59" s="5" t="s">
        <v>80</v>
      </c>
      <c r="C59" s="5">
        <v>20.7028</v>
      </c>
      <c r="D59" s="5">
        <v>0.64439999999999997</v>
      </c>
      <c r="E59" s="5">
        <v>114.36969999999999</v>
      </c>
      <c r="F59" s="5">
        <v>4.3650000000000002</v>
      </c>
      <c r="G59" s="5">
        <v>0.64575171553337496</v>
      </c>
      <c r="H59" s="5">
        <v>3.2262256699576901</v>
      </c>
      <c r="I59" s="5">
        <v>0.20669204790000001</v>
      </c>
      <c r="J59" s="5">
        <f t="shared" si="0"/>
        <v>0.20015701987203008</v>
      </c>
    </row>
    <row r="60" spans="1:10" x14ac:dyDescent="0.25">
      <c r="A60" s="5" t="s">
        <v>63</v>
      </c>
      <c r="B60" s="5" t="s">
        <v>79</v>
      </c>
      <c r="C60" s="5">
        <v>23.726600000000001</v>
      </c>
      <c r="D60" s="5">
        <v>0.73850000000000005</v>
      </c>
      <c r="E60" s="5">
        <v>4.9799999999999997E-2</v>
      </c>
      <c r="F60" s="5">
        <v>1.9E-3</v>
      </c>
      <c r="G60" s="5">
        <v>0.74006862133499696</v>
      </c>
      <c r="H60" s="5">
        <v>1.40479548660085E-3</v>
      </c>
      <c r="I60" s="5">
        <v>1.159886E-4</v>
      </c>
      <c r="J60" s="5">
        <f t="shared" si="0"/>
        <v>526.81591619127653</v>
      </c>
    </row>
    <row r="61" spans="1:10" x14ac:dyDescent="0.25">
      <c r="A61" s="5" t="s">
        <v>71</v>
      </c>
      <c r="B61" s="5" t="s">
        <v>79</v>
      </c>
      <c r="C61" s="5">
        <v>23.482600000000001</v>
      </c>
      <c r="D61" s="5">
        <v>0.73089999999999999</v>
      </c>
      <c r="E61" s="5">
        <v>0.35920000000000002</v>
      </c>
      <c r="F61" s="5">
        <v>1.37E-2</v>
      </c>
      <c r="G61" s="5">
        <v>0.73245789145352502</v>
      </c>
      <c r="H61" s="5">
        <v>1.0132581100141E-2</v>
      </c>
      <c r="I61" s="5">
        <v>6.7507440000000004E-4</v>
      </c>
      <c r="J61" s="5">
        <f t="shared" si="0"/>
        <v>72.287394910989903</v>
      </c>
    </row>
    <row r="62" spans="1:10" x14ac:dyDescent="0.25">
      <c r="A62" t="s">
        <v>65</v>
      </c>
      <c r="C62">
        <v>12.5365</v>
      </c>
      <c r="D62">
        <v>0.39019999999999999</v>
      </c>
      <c r="E62">
        <v>9.1999999999999998E-3</v>
      </c>
      <c r="F62" s="1" t="s">
        <v>66</v>
      </c>
      <c r="G62">
        <v>0.39103243917654401</v>
      </c>
      <c r="H62">
        <v>2.59520451339915E-4</v>
      </c>
      <c r="I62" s="1" t="s">
        <v>67</v>
      </c>
      <c r="J62" s="3"/>
    </row>
    <row r="63" spans="1:10" x14ac:dyDescent="0.25">
      <c r="A63" t="s">
        <v>68</v>
      </c>
      <c r="C63">
        <v>15.5534</v>
      </c>
      <c r="D63">
        <v>0.48409999999999997</v>
      </c>
      <c r="E63">
        <v>0</v>
      </c>
      <c r="F63">
        <v>0</v>
      </c>
      <c r="G63">
        <v>0.48513412351840302</v>
      </c>
      <c r="H63">
        <v>0</v>
      </c>
      <c r="I63" s="1" t="s">
        <v>69</v>
      </c>
      <c r="J63" s="3"/>
    </row>
    <row r="64" spans="1:10" x14ac:dyDescent="0.25">
      <c r="A64" t="s">
        <v>70</v>
      </c>
      <c r="C64">
        <v>11.4268</v>
      </c>
      <c r="D64">
        <v>0.35570000000000002</v>
      </c>
      <c r="E64">
        <v>0</v>
      </c>
      <c r="F64">
        <v>0</v>
      </c>
      <c r="G64">
        <v>0.356419213973799</v>
      </c>
      <c r="H64">
        <v>0</v>
      </c>
      <c r="I64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2024-08-09T14:33:44Z</dcterms:created>
  <dcterms:modified xsi:type="dcterms:W3CDTF">2024-08-09T15:16:44Z</dcterms:modified>
</cp:coreProperties>
</file>