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Tidal Survey\"/>
    </mc:Choice>
  </mc:AlternateContent>
  <xr:revisionPtr revIDLastSave="0" documentId="8_{DD6EE285-34B8-40AE-ABEE-25941794D019}" xr6:coauthVersionLast="36" xr6:coauthVersionMax="36" xr10:uidLastSave="{00000000-0000-0000-0000-000000000000}"/>
  <bookViews>
    <workbookView xWindow="0" yWindow="0" windowWidth="14370" windowHeight="9585" xr2:uid="{93023EF1-359B-4DAF-A32E-AC42097338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" i="1" l="1"/>
  <c r="F15" i="1"/>
  <c r="L14" i="1"/>
  <c r="L18" i="1"/>
  <c r="L17" i="1"/>
  <c r="L16" i="1"/>
  <c r="L15" i="1"/>
  <c r="L13" i="1"/>
  <c r="L12" i="1"/>
  <c r="L11" i="1"/>
  <c r="I18" i="1"/>
  <c r="I17" i="1"/>
  <c r="I16" i="1"/>
  <c r="I15" i="1"/>
  <c r="I14" i="1"/>
  <c r="I13" i="1"/>
  <c r="I12" i="1"/>
  <c r="I11" i="1"/>
  <c r="F12" i="1"/>
  <c r="F13" i="1"/>
  <c r="F14" i="1"/>
  <c r="F16" i="1"/>
  <c r="F17" i="1"/>
  <c r="F11" i="1"/>
  <c r="C14" i="1"/>
  <c r="C16" i="1"/>
  <c r="C15" i="1"/>
  <c r="C12" i="1"/>
  <c r="C13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<sst xmlns="http://schemas.openxmlformats.org/spreadsheetml/2006/main" count="8" uniqueCount="8">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</sst>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5.1999999999999998E-2</c:v>
                </c:pt>
                <c:pt idx="1">
                  <c:v>0.14266666666666669</c:v>
                </c:pt>
                <c:pt idx="2">
                  <c:v>0.28599999999999998</c:v>
                </c:pt>
                <c:pt idx="3">
                  <c:v>0.438</c:v>
                </c:pt>
                <c:pt idx="4">
                  <c:v>0.73049999999999993</c:v>
                </c:pt>
                <c:pt idx="5">
                  <c:v>1.3083333333333333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BC-44C1-8374-02F1361D2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179896"/>
        <c:axId val="424181208"/>
      </c:scatterChart>
      <c:valAx>
        <c:axId val="424179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181208"/>
        <c:crosses val="autoZero"/>
        <c:crossBetween val="midCat"/>
      </c:valAx>
      <c:valAx>
        <c:axId val="424181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179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18</xdr:row>
      <xdr:rowOff>19050</xdr:rowOff>
    </xdr:from>
    <xdr:to>
      <xdr:col>11</xdr:col>
      <xdr:colOff>200025</xdr:colOff>
      <xdr:row>32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9F7389-ACFD-4E30-AB39-E7E1B5736A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62FDC-BB98-4D5E-8098-40B64F0FCF4D}">
  <dimension ref="A1:N18"/>
  <sheetViews>
    <sheetView tabSelected="1" topLeftCell="A4" workbookViewId="0">
      <selection activeCell="F17" sqref="F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5.0999999999999997E-2</v>
      </c>
      <c r="C2" s="3">
        <v>5.0999999999999997E-2</v>
      </c>
      <c r="D2" s="3">
        <v>5.3999999999999999E-2</v>
      </c>
      <c r="E2" s="3">
        <v>5.7000000000000002E-2</v>
      </c>
      <c r="F2" s="3">
        <v>5.8000000000000003E-2</v>
      </c>
      <c r="G2" s="3">
        <v>5.8000000000000003E-2</v>
      </c>
      <c r="H2" s="3">
        <v>6.4000000000000001E-2</v>
      </c>
      <c r="I2" s="3">
        <v>5.8999999999999997E-2</v>
      </c>
      <c r="J2" s="3">
        <v>5.7000000000000002E-2</v>
      </c>
      <c r="K2" s="3">
        <v>5.8999999999999997E-2</v>
      </c>
      <c r="L2" s="3">
        <v>5.6000000000000001E-2</v>
      </c>
      <c r="M2" s="3">
        <v>5.8999999999999997E-2</v>
      </c>
      <c r="N2" s="4">
        <v>670</v>
      </c>
    </row>
    <row r="3" spans="1:14" x14ac:dyDescent="0.25">
      <c r="A3" s="2" t="s">
        <v>1</v>
      </c>
      <c r="B3" s="3">
        <v>0.13200000000000001</v>
      </c>
      <c r="C3" s="3">
        <v>0.155</v>
      </c>
      <c r="D3" s="3">
        <v>0.14099999999999999</v>
      </c>
      <c r="E3" s="3">
        <v>0.33800000000000002</v>
      </c>
      <c r="F3" s="3">
        <v>0.311</v>
      </c>
      <c r="G3" s="3">
        <v>0.27</v>
      </c>
      <c r="H3" s="3">
        <v>5.6000000000000001E-2</v>
      </c>
      <c r="I3" s="3">
        <v>5.1999999999999998E-2</v>
      </c>
      <c r="J3" s="3">
        <v>5.1999999999999998E-2</v>
      </c>
      <c r="K3" s="3">
        <v>6.8000000000000005E-2</v>
      </c>
      <c r="L3" s="3">
        <v>6.6000000000000003E-2</v>
      </c>
      <c r="M3" s="3">
        <v>6.6000000000000003E-2</v>
      </c>
      <c r="N3" s="4">
        <v>670</v>
      </c>
    </row>
    <row r="4" spans="1:14" x14ac:dyDescent="0.25">
      <c r="A4" s="2" t="s">
        <v>2</v>
      </c>
      <c r="B4" s="3">
        <v>0.26900000000000002</v>
      </c>
      <c r="C4" s="3">
        <v>0.30599999999999999</v>
      </c>
      <c r="D4" s="3">
        <v>0.28299999999999997</v>
      </c>
      <c r="E4" s="3">
        <v>6.3E-2</v>
      </c>
      <c r="F4" s="3">
        <v>6.2E-2</v>
      </c>
      <c r="G4" s="3">
        <v>6.4000000000000001E-2</v>
      </c>
      <c r="H4" s="3">
        <v>6.0999999999999999E-2</v>
      </c>
      <c r="I4" s="3">
        <v>0.06</v>
      </c>
      <c r="J4" s="3">
        <v>5.8999999999999997E-2</v>
      </c>
      <c r="K4" s="3">
        <v>6.0999999999999999E-2</v>
      </c>
      <c r="L4" s="3">
        <v>5.6000000000000001E-2</v>
      </c>
      <c r="M4" s="3">
        <v>6.3E-2</v>
      </c>
      <c r="N4" s="4">
        <v>670</v>
      </c>
    </row>
    <row r="5" spans="1:14" x14ac:dyDescent="0.25">
      <c r="A5" s="2" t="s">
        <v>3</v>
      </c>
      <c r="B5" s="3">
        <v>0.434</v>
      </c>
      <c r="C5" s="3">
        <v>0.46800000000000003</v>
      </c>
      <c r="D5" s="3">
        <v>0.442</v>
      </c>
      <c r="E5" s="3">
        <v>5.8000000000000003E-2</v>
      </c>
      <c r="F5" s="3">
        <v>0.06</v>
      </c>
      <c r="G5" s="3">
        <v>6.2E-2</v>
      </c>
      <c r="H5" s="3">
        <v>0.47199999999999998</v>
      </c>
      <c r="I5" s="3">
        <v>0.47299999999999998</v>
      </c>
      <c r="J5" s="3">
        <v>0.46100000000000002</v>
      </c>
      <c r="K5" s="3">
        <v>0.107</v>
      </c>
      <c r="L5" s="3">
        <v>0.121</v>
      </c>
      <c r="M5" s="3">
        <v>0.13</v>
      </c>
      <c r="N5" s="4">
        <v>670</v>
      </c>
    </row>
    <row r="6" spans="1:14" x14ac:dyDescent="0.25">
      <c r="A6" s="2" t="s">
        <v>4</v>
      </c>
      <c r="B6" s="3">
        <v>0.88700000000000001</v>
      </c>
      <c r="C6" s="3">
        <v>0.7</v>
      </c>
      <c r="D6" s="3">
        <v>0.76100000000000001</v>
      </c>
      <c r="E6" s="3">
        <v>0.13300000000000001</v>
      </c>
      <c r="F6" s="3">
        <v>0.124</v>
      </c>
      <c r="G6" s="3">
        <v>0.13900000000000001</v>
      </c>
      <c r="H6" s="3">
        <v>6.5000000000000002E-2</v>
      </c>
      <c r="I6" s="3">
        <v>6.5000000000000002E-2</v>
      </c>
      <c r="J6" s="3">
        <v>6.3E-2</v>
      </c>
      <c r="K6" s="3">
        <v>0.11899999999999999</v>
      </c>
      <c r="L6" s="3">
        <v>0.18099999999999999</v>
      </c>
      <c r="M6" s="3">
        <v>0.13700000000000001</v>
      </c>
      <c r="N6" s="4">
        <v>670</v>
      </c>
    </row>
    <row r="7" spans="1:14" x14ac:dyDescent="0.25">
      <c r="A7" s="2" t="s">
        <v>5</v>
      </c>
      <c r="B7" s="3">
        <v>1.393</v>
      </c>
      <c r="C7" s="3">
        <v>1.2629999999999999</v>
      </c>
      <c r="D7" s="3">
        <v>1.2689999999999999</v>
      </c>
      <c r="E7" s="3">
        <v>5.8000000000000003E-2</v>
      </c>
      <c r="F7" s="3">
        <v>6.2E-2</v>
      </c>
      <c r="G7" s="3">
        <v>0.06</v>
      </c>
      <c r="H7" s="3">
        <v>5.3999999999999999E-2</v>
      </c>
      <c r="I7" s="3">
        <v>5.6000000000000001E-2</v>
      </c>
      <c r="J7" s="3">
        <v>6.0999999999999999E-2</v>
      </c>
      <c r="K7" s="3">
        <v>0.06</v>
      </c>
      <c r="L7" s="3">
        <v>5.8999999999999997E-2</v>
      </c>
      <c r="M7" s="3">
        <v>5.2999999999999999E-2</v>
      </c>
      <c r="N7" s="4">
        <v>670</v>
      </c>
    </row>
    <row r="8" spans="1:14" x14ac:dyDescent="0.25">
      <c r="A8" s="2" t="s">
        <v>6</v>
      </c>
      <c r="B8" s="3">
        <v>1.323</v>
      </c>
      <c r="C8" s="3">
        <v>1.244</v>
      </c>
      <c r="D8" s="3">
        <v>1.2390000000000001</v>
      </c>
      <c r="E8" s="3">
        <v>0.68400000000000005</v>
      </c>
      <c r="F8" s="3">
        <v>0.76800000000000002</v>
      </c>
      <c r="G8" s="3">
        <v>0.57499999999999996</v>
      </c>
      <c r="H8" s="3">
        <v>5.6000000000000001E-2</v>
      </c>
      <c r="I8" s="3">
        <v>5.7000000000000002E-2</v>
      </c>
      <c r="J8" s="3">
        <v>5.6000000000000001E-2</v>
      </c>
      <c r="K8" s="3">
        <v>6.0999999999999999E-2</v>
      </c>
      <c r="L8" s="3">
        <v>5.7000000000000002E-2</v>
      </c>
      <c r="M8" s="3">
        <v>5.7000000000000002E-2</v>
      </c>
      <c r="N8" s="4">
        <v>670</v>
      </c>
    </row>
    <row r="9" spans="1:14" x14ac:dyDescent="0.25">
      <c r="A9" s="2" t="s">
        <v>7</v>
      </c>
      <c r="B9" s="3">
        <v>1.4039999999999999</v>
      </c>
      <c r="C9" s="3">
        <v>1.1950000000000001</v>
      </c>
      <c r="D9" s="3">
        <v>1.3480000000000001</v>
      </c>
      <c r="E9" s="3">
        <v>5.8000000000000003E-2</v>
      </c>
      <c r="F9" s="3">
        <v>0.06</v>
      </c>
      <c r="G9" s="3">
        <v>5.8000000000000003E-2</v>
      </c>
      <c r="H9" s="3">
        <v>5.7000000000000002E-2</v>
      </c>
      <c r="I9" s="3">
        <v>5.8999999999999997E-2</v>
      </c>
      <c r="J9" s="3">
        <v>6.2E-2</v>
      </c>
      <c r="K9" s="3">
        <v>0.753</v>
      </c>
      <c r="L9" s="3">
        <v>0.755</v>
      </c>
      <c r="M9" s="3">
        <v>0.81899999999999995</v>
      </c>
      <c r="N9" s="4">
        <v>670</v>
      </c>
    </row>
    <row r="11" spans="1:14" x14ac:dyDescent="0.25">
      <c r="B11" s="5">
        <v>0</v>
      </c>
      <c r="C11">
        <f>AVERAGE(B2:D2)</f>
        <v>5.1999999999999998E-2</v>
      </c>
      <c r="F11">
        <f>AVERAGE(E2:G2)</f>
        <v>5.7666666666666672E-2</v>
      </c>
      <c r="I11">
        <f>AVERAGE(H2:J2)</f>
        <v>0.06</v>
      </c>
      <c r="L11">
        <f>AVERAGE(K2:M2)</f>
        <v>5.7999999999999996E-2</v>
      </c>
    </row>
    <row r="12" spans="1:14" x14ac:dyDescent="0.25">
      <c r="B12" s="5">
        <v>5</v>
      </c>
      <c r="C12">
        <f t="shared" ref="C12:C18" si="0">AVERAGE(B3:D3)</f>
        <v>0.14266666666666669</v>
      </c>
      <c r="F12">
        <f t="shared" ref="F12:F18" si="1">AVERAGE(E3:G3)</f>
        <v>0.30633333333333335</v>
      </c>
      <c r="I12">
        <f t="shared" ref="I12:I18" si="2">AVERAGE(H3:J3)</f>
        <v>5.3333333333333337E-2</v>
      </c>
      <c r="L12">
        <f t="shared" ref="L12:L18" si="3">AVERAGE(K3:M3)</f>
        <v>6.6666666666666666E-2</v>
      </c>
    </row>
    <row r="13" spans="1:14" x14ac:dyDescent="0.25">
      <c r="B13" s="5">
        <v>12.5</v>
      </c>
      <c r="C13">
        <f t="shared" si="0"/>
        <v>0.28599999999999998</v>
      </c>
      <c r="F13">
        <f t="shared" si="1"/>
        <v>6.3E-2</v>
      </c>
      <c r="I13">
        <f t="shared" si="2"/>
        <v>0.06</v>
      </c>
      <c r="L13">
        <f t="shared" si="3"/>
        <v>0.06</v>
      </c>
    </row>
    <row r="14" spans="1:14" x14ac:dyDescent="0.25">
      <c r="B14" s="5">
        <v>25</v>
      </c>
      <c r="C14">
        <f>AVERAGE(B5,D5)</f>
        <v>0.438</v>
      </c>
      <c r="F14">
        <f t="shared" si="1"/>
        <v>0.06</v>
      </c>
      <c r="I14">
        <f t="shared" si="2"/>
        <v>0.46866666666666662</v>
      </c>
      <c r="L14">
        <f>AVERAGE(K5:M5)</f>
        <v>0.11933333333333333</v>
      </c>
    </row>
    <row r="15" spans="1:14" x14ac:dyDescent="0.25">
      <c r="B15" s="5">
        <v>50</v>
      </c>
      <c r="C15">
        <f>AVERAGE(C6:D6)</f>
        <v>0.73049999999999993</v>
      </c>
      <c r="F15">
        <f>AVERAGE(E6:G6)</f>
        <v>0.13200000000000001</v>
      </c>
      <c r="I15">
        <f t="shared" si="2"/>
        <v>6.433333333333334E-2</v>
      </c>
      <c r="L15">
        <f t="shared" si="3"/>
        <v>0.14566666666666667</v>
      </c>
    </row>
    <row r="16" spans="1:14" x14ac:dyDescent="0.25">
      <c r="B16" s="5">
        <v>100</v>
      </c>
      <c r="C16">
        <f t="shared" si="0"/>
        <v>1.3083333333333333</v>
      </c>
      <c r="F16">
        <f t="shared" si="1"/>
        <v>0.06</v>
      </c>
      <c r="I16">
        <f t="shared" si="2"/>
        <v>5.6999999999999995E-2</v>
      </c>
      <c r="L16">
        <f t="shared" si="3"/>
        <v>5.7333333333333326E-2</v>
      </c>
    </row>
    <row r="17" spans="3:12" x14ac:dyDescent="0.25">
      <c r="C17">
        <f t="shared" si="0"/>
        <v>1.2686666666666666</v>
      </c>
      <c r="F17">
        <f t="shared" si="1"/>
        <v>0.67566666666666675</v>
      </c>
      <c r="I17">
        <f t="shared" si="2"/>
        <v>5.6333333333333339E-2</v>
      </c>
      <c r="L17">
        <f t="shared" si="3"/>
        <v>5.8333333333333327E-2</v>
      </c>
    </row>
    <row r="18" spans="3:12" x14ac:dyDescent="0.25">
      <c r="C18">
        <f t="shared" si="0"/>
        <v>1.3156666666666668</v>
      </c>
      <c r="F18">
        <f>AVERAGE(E9:G9)</f>
        <v>5.8666666666666666E-2</v>
      </c>
      <c r="I18">
        <f t="shared" si="2"/>
        <v>5.9333333333333328E-2</v>
      </c>
      <c r="L18">
        <f t="shared" si="3"/>
        <v>0.77566666666666662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2024-07-29T16:45:31Z</dcterms:created>
  <dcterms:modified xsi:type="dcterms:W3CDTF">2024-07-29T16:50:13Z</dcterms:modified>
</cp:coreProperties>
</file>